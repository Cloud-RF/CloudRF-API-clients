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10"/>
  <workbookPr/>
  <mc:AlternateContent xmlns:mc="http://schemas.openxmlformats.org/markup-compatibility/2006">
    <mc:Choice Requires="x15">
      <x15ac:absPath xmlns:x15ac="http://schemas.microsoft.com/office/spreadsheetml/2010/11/ac" url="https://cloudrfcom-my.sharepoint.com/personal/matt_cloudrf_com/Documents/Documents/CSV to JSON/"/>
    </mc:Choice>
  </mc:AlternateContent>
  <xr:revisionPtr revIDLastSave="13" documentId="11_6FCD219340DF956DC54C8777A0893EE0C5E88625" xr6:coauthVersionLast="47" xr6:coauthVersionMax="47" xr10:uidLastSave="{06914B2D-6412-485C-AEC0-10A06176DBD3}"/>
  <bookViews>
    <workbookView xWindow="28680" yWindow="-120" windowWidth="29040" windowHeight="15720" firstSheet="1" activeTab="1" xr2:uid="{00000000-000D-0000-FFFF-FFFF00000000}"/>
  </bookViews>
  <sheets>
    <sheet name="ReadMe" sheetId="1" r:id="rId1"/>
    <sheet name="Insert" sheetId="2" r:id="rId2"/>
    <sheet name="Formatting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/>
  <c r="A5" i="2"/>
  <c r="A6" i="2"/>
  <c r="D6" i="3" s="1"/>
  <c r="A7" i="2"/>
  <c r="D7" i="3" s="1"/>
  <c r="A8" i="2"/>
  <c r="D8" i="3" s="1"/>
  <c r="A9" i="2"/>
  <c r="A10" i="2"/>
  <c r="A11" i="2"/>
  <c r="A12" i="2"/>
  <c r="A13" i="2"/>
  <c r="D13" i="3" s="1"/>
  <c r="A14" i="2"/>
  <c r="D14" i="3" s="1"/>
  <c r="A15" i="2"/>
  <c r="A16" i="2"/>
  <c r="A17" i="2"/>
  <c r="A18" i="2"/>
  <c r="A19" i="2"/>
  <c r="D19" i="3" s="1"/>
  <c r="A20" i="2"/>
  <c r="D20" i="3" s="1"/>
  <c r="A21" i="2"/>
  <c r="A22" i="2"/>
  <c r="A23" i="2"/>
  <c r="A24" i="2"/>
  <c r="A25" i="2"/>
  <c r="A26" i="2"/>
  <c r="D26" i="3" s="1"/>
  <c r="A27" i="2"/>
  <c r="A28" i="2"/>
  <c r="A29" i="2"/>
  <c r="A30" i="2"/>
  <c r="D30" i="3" s="1"/>
  <c r="A31" i="2"/>
  <c r="D31" i="3" s="1"/>
  <c r="A32" i="2"/>
  <c r="D32" i="3" s="1"/>
  <c r="A33" i="2"/>
  <c r="A34" i="2"/>
  <c r="A35" i="2"/>
  <c r="A36" i="2"/>
  <c r="A37" i="2"/>
  <c r="A38" i="2"/>
  <c r="D38" i="3" s="1"/>
  <c r="A39" i="2"/>
  <c r="A40" i="2"/>
  <c r="A41" i="2"/>
  <c r="A42" i="2"/>
  <c r="D42" i="3" s="1"/>
  <c r="A43" i="2"/>
  <c r="D43" i="3" s="1"/>
  <c r="A2" i="2"/>
  <c r="AG43" i="3"/>
  <c r="R43" i="3"/>
  <c r="Q43" i="3"/>
  <c r="I43" i="3"/>
  <c r="AG42" i="3"/>
  <c r="R42" i="3"/>
  <c r="Q42" i="3"/>
  <c r="I42" i="3"/>
  <c r="AG41" i="3"/>
  <c r="R41" i="3"/>
  <c r="Q41" i="3"/>
  <c r="I41" i="3"/>
  <c r="AG40" i="3"/>
  <c r="R40" i="3"/>
  <c r="Q40" i="3"/>
  <c r="I40" i="3"/>
  <c r="AG39" i="3"/>
  <c r="R39" i="3"/>
  <c r="Q39" i="3"/>
  <c r="I39" i="3"/>
  <c r="D39" i="3"/>
  <c r="AG38" i="3"/>
  <c r="R38" i="3"/>
  <c r="Q38" i="3"/>
  <c r="I38" i="3"/>
  <c r="AG37" i="3"/>
  <c r="R37" i="3"/>
  <c r="Q37" i="3"/>
  <c r="I37" i="3"/>
  <c r="AG36" i="3"/>
  <c r="R36" i="3"/>
  <c r="Q36" i="3"/>
  <c r="I36" i="3"/>
  <c r="AG35" i="3"/>
  <c r="R35" i="3"/>
  <c r="Q35" i="3"/>
  <c r="I35" i="3"/>
  <c r="AG34" i="3"/>
  <c r="R34" i="3"/>
  <c r="Q34" i="3"/>
  <c r="I34" i="3"/>
  <c r="D34" i="3"/>
  <c r="AG33" i="3"/>
  <c r="R33" i="3"/>
  <c r="Q33" i="3"/>
  <c r="I33" i="3"/>
  <c r="AG32" i="3"/>
  <c r="R32" i="3"/>
  <c r="Q32" i="3"/>
  <c r="I32" i="3"/>
  <c r="AG31" i="3"/>
  <c r="R31" i="3"/>
  <c r="Q31" i="3"/>
  <c r="I31" i="3"/>
  <c r="AG30" i="3"/>
  <c r="R30" i="3"/>
  <c r="Q30" i="3"/>
  <c r="I30" i="3"/>
  <c r="AG29" i="3"/>
  <c r="R29" i="3"/>
  <c r="Q29" i="3"/>
  <c r="I29" i="3"/>
  <c r="AG28" i="3"/>
  <c r="R28" i="3"/>
  <c r="Q28" i="3"/>
  <c r="I28" i="3"/>
  <c r="AG27" i="3"/>
  <c r="R27" i="3"/>
  <c r="Q27" i="3"/>
  <c r="I27" i="3"/>
  <c r="AG26" i="3"/>
  <c r="R26" i="3"/>
  <c r="Q26" i="3"/>
  <c r="I26" i="3"/>
  <c r="AG25" i="3"/>
  <c r="R25" i="3"/>
  <c r="Q25" i="3"/>
  <c r="I25" i="3"/>
  <c r="AG24" i="3"/>
  <c r="R24" i="3"/>
  <c r="Q24" i="3"/>
  <c r="I24" i="3"/>
  <c r="AG23" i="3"/>
  <c r="R23" i="3"/>
  <c r="Q23" i="3"/>
  <c r="I23" i="3"/>
  <c r="AG22" i="3"/>
  <c r="R22" i="3"/>
  <c r="Q22" i="3"/>
  <c r="I22" i="3"/>
  <c r="AG21" i="3"/>
  <c r="R21" i="3"/>
  <c r="Q21" i="3"/>
  <c r="I21" i="3"/>
  <c r="AG20" i="3"/>
  <c r="R20" i="3"/>
  <c r="Q20" i="3"/>
  <c r="I20" i="3"/>
  <c r="AG19" i="3"/>
  <c r="R19" i="3"/>
  <c r="Q19" i="3"/>
  <c r="I19" i="3"/>
  <c r="AG18" i="3"/>
  <c r="R18" i="3"/>
  <c r="Q18" i="3"/>
  <c r="I18" i="3"/>
  <c r="AG17" i="3"/>
  <c r="R17" i="3"/>
  <c r="Q17" i="3"/>
  <c r="I17" i="3"/>
  <c r="D17" i="3"/>
  <c r="AG16" i="3"/>
  <c r="R16" i="3"/>
  <c r="Q16" i="3"/>
  <c r="I16" i="3"/>
  <c r="AG15" i="3"/>
  <c r="R15" i="3"/>
  <c r="Q15" i="3"/>
  <c r="I15" i="3"/>
  <c r="AG14" i="3"/>
  <c r="R14" i="3"/>
  <c r="Q14" i="3"/>
  <c r="I14" i="3"/>
  <c r="AG13" i="3"/>
  <c r="R13" i="3"/>
  <c r="Q13" i="3"/>
  <c r="I13" i="3"/>
  <c r="AG12" i="3"/>
  <c r="R12" i="3"/>
  <c r="Q12" i="3"/>
  <c r="I12" i="3"/>
  <c r="AG11" i="3"/>
  <c r="R11" i="3"/>
  <c r="Q11" i="3"/>
  <c r="I11" i="3"/>
  <c r="AG10" i="3"/>
  <c r="R10" i="3"/>
  <c r="Q10" i="3"/>
  <c r="I10" i="3"/>
  <c r="D10" i="3"/>
  <c r="AG9" i="3"/>
  <c r="R9" i="3"/>
  <c r="Q9" i="3"/>
  <c r="I9" i="3"/>
  <c r="D9" i="3"/>
  <c r="AG8" i="3"/>
  <c r="R8" i="3"/>
  <c r="Q8" i="3"/>
  <c r="I8" i="3"/>
  <c r="AG7" i="3"/>
  <c r="R7" i="3"/>
  <c r="Q7" i="3"/>
  <c r="I7" i="3"/>
  <c r="AG6" i="3"/>
  <c r="R6" i="3"/>
  <c r="Q6" i="3"/>
  <c r="I6" i="3"/>
  <c r="AG5" i="3"/>
  <c r="R5" i="3"/>
  <c r="Q5" i="3"/>
  <c r="I5" i="3"/>
  <c r="AG4" i="3"/>
  <c r="R4" i="3"/>
  <c r="Q4" i="3"/>
  <c r="I4" i="3"/>
  <c r="AG3" i="3"/>
  <c r="R3" i="3"/>
  <c r="Q3" i="3"/>
  <c r="I3" i="3"/>
  <c r="AG2" i="3"/>
  <c r="R2" i="3"/>
  <c r="Q2" i="3"/>
  <c r="I2" i="3"/>
  <c r="D41" i="3"/>
  <c r="D40" i="3"/>
  <c r="D37" i="3"/>
  <c r="D36" i="3"/>
  <c r="D35" i="3"/>
  <c r="D33" i="3"/>
  <c r="D29" i="3"/>
  <c r="D28" i="3"/>
  <c r="D27" i="3"/>
  <c r="D25" i="3"/>
  <c r="D24" i="3"/>
  <c r="D23" i="3"/>
  <c r="D22" i="3"/>
  <c r="D21" i="3"/>
  <c r="D18" i="3"/>
  <c r="D16" i="3"/>
  <c r="D15" i="3"/>
  <c r="D12" i="3"/>
  <c r="D11" i="3"/>
  <c r="D5" i="3"/>
  <c r="D4" i="3"/>
  <c r="D3" i="3"/>
  <c r="D2" i="3"/>
</calcChain>
</file>

<file path=xl/sharedStrings.xml><?xml version="1.0" encoding="utf-8"?>
<sst xmlns="http://schemas.openxmlformats.org/spreadsheetml/2006/main" count="722" uniqueCount="149">
  <si>
    <t>1. Insert new radio sytems on the Insert sheet, see example below.</t>
  </si>
  <si>
    <t>Template Name</t>
  </si>
  <si>
    <t>Radio</t>
  </si>
  <si>
    <t>Brand</t>
  </si>
  <si>
    <t>Radio SH</t>
  </si>
  <si>
    <t>Band</t>
  </si>
  <si>
    <t>Frequnecy</t>
  </si>
  <si>
    <t>W Power</t>
  </si>
  <si>
    <t>MHz Bandwidth</t>
  </si>
  <si>
    <t>Gain dBi</t>
  </si>
  <si>
    <t>SC(4200 E L , 1, 1.25)</t>
  </si>
  <si>
    <t>StreamCaster 4200 Enhanced Plus</t>
  </si>
  <si>
    <t>SC</t>
  </si>
  <si>
    <t>4200 E</t>
  </si>
  <si>
    <t>L</t>
  </si>
  <si>
    <t>RADIO SH is a shorthand version of the radio name and will be used to create the Template name.</t>
  </si>
  <si>
    <t>2. Once all of the radio systems have been added, use the Formatting sheet, copying the provided formulas to included all the inputted systems.</t>
  </si>
  <si>
    <t>3. Save the formatting sheet as a CSV (Comma Delimited).</t>
  </si>
  <si>
    <t>4. Use CSVtoJSON v1.py to translate the CSV to JSON.</t>
  </si>
  <si>
    <t>Run the command - Pyhton3 CSVtoJSON v1.py \yourcsvfile.csv</t>
  </si>
  <si>
    <t>The command will run and generate Templates in the current folder.</t>
  </si>
  <si>
    <t xml:space="preserve">Radio </t>
  </si>
  <si>
    <t xml:space="preserve">Frequnecy </t>
  </si>
  <si>
    <t xml:space="preserve">MHz Bandwidth </t>
  </si>
  <si>
    <t>Tx Gain dBi</t>
  </si>
  <si>
    <t>Notes</t>
  </si>
  <si>
    <t>Silvus</t>
  </si>
  <si>
    <t>S</t>
  </si>
  <si>
    <t>UHF</t>
  </si>
  <si>
    <t>StreamCaster LITE 4200</t>
  </si>
  <si>
    <t>4200 L</t>
  </si>
  <si>
    <t>StreamCaster 4400 Enhanced</t>
  </si>
  <si>
    <t>4400 E</t>
  </si>
  <si>
    <t>Kenwood TS-890S</t>
  </si>
  <si>
    <t>KW</t>
  </si>
  <si>
    <t>TS-890S</t>
  </si>
  <si>
    <t>HF</t>
  </si>
  <si>
    <t>version</t>
  </si>
  <si>
    <t>reference</t>
  </si>
  <si>
    <t>template</t>
  </si>
  <si>
    <t>name</t>
  </si>
  <si>
    <t>service</t>
  </si>
  <si>
    <t>created_at</t>
  </si>
  <si>
    <t>owner</t>
  </si>
  <si>
    <t>bom_value</t>
  </si>
  <si>
    <t>site</t>
  </si>
  <si>
    <t>network</t>
  </si>
  <si>
    <t>engine</t>
  </si>
  <si>
    <t>coordinates</t>
  </si>
  <si>
    <t>transmitter</t>
  </si>
  <si>
    <t>lat</t>
  </si>
  <si>
    <t>lon</t>
  </si>
  <si>
    <t>alt</t>
  </si>
  <si>
    <t>frq</t>
  </si>
  <si>
    <t>txw</t>
  </si>
  <si>
    <t>bwi</t>
  </si>
  <si>
    <t>powerUnit</t>
  </si>
  <si>
    <t>receiver</t>
  </si>
  <si>
    <t>rxlat</t>
  </si>
  <si>
    <t>rxlon</t>
  </si>
  <si>
    <t>rxalt</t>
  </si>
  <si>
    <t>rxg</t>
  </si>
  <si>
    <t>rxs</t>
  </si>
  <si>
    <t>feeder</t>
  </si>
  <si>
    <t>flt</t>
  </si>
  <si>
    <t>fll</t>
  </si>
  <si>
    <t>fcc</t>
  </si>
  <si>
    <t>antenna</t>
  </si>
  <si>
    <t>mode</t>
  </si>
  <si>
    <t>txg</t>
  </si>
  <si>
    <t>txl</t>
  </si>
  <si>
    <t>ant</t>
  </si>
  <si>
    <t>azi</t>
  </si>
  <si>
    <t>tlt</t>
  </si>
  <si>
    <t>hbw</t>
  </si>
  <si>
    <t>vbw</t>
  </si>
  <si>
    <t>fbr</t>
  </si>
  <si>
    <t>pol</t>
  </si>
  <si>
    <t>model</t>
  </si>
  <si>
    <t>pm</t>
  </si>
  <si>
    <t>pe</t>
  </si>
  <si>
    <t>ked</t>
  </si>
  <si>
    <t>rel</t>
  </si>
  <si>
    <t>environment</t>
  </si>
  <si>
    <t>elevation</t>
  </si>
  <si>
    <t>landcover</t>
  </si>
  <si>
    <t>buildings</t>
  </si>
  <si>
    <t>obstacles</t>
  </si>
  <si>
    <t>clt</t>
  </si>
  <si>
    <t>output</t>
  </si>
  <si>
    <t>units</t>
  </si>
  <si>
    <t>col</t>
  </si>
  <si>
    <t>out</t>
  </si>
  <si>
    <t>ber</t>
  </si>
  <si>
    <t>mod</t>
  </si>
  <si>
    <t>nf</t>
  </si>
  <si>
    <t>res</t>
  </si>
  <si>
    <t>rad</t>
  </si>
  <si>
    <t>CloudRF-API-v3.4.0</t>
  </si>
  <si>
    <t>https://cloudrf.com/documentation/developer/swagger-ui/</t>
  </si>
  <si>
    <t>SOOTHSAYER https://dev.cloudrf.com</t>
  </si>
  <si>
    <t>2022-11-09T12:49:49+00:00</t>
  </si>
  <si>
    <t>PS</t>
  </si>
  <si>
    <t>W</t>
  </si>
  <si>
    <t>v</t>
  </si>
  <si>
    <t>Minimal.clt</t>
  </si>
  <si>
    <t>m</t>
  </si>
  <si>
    <t>CALIB.db</t>
  </si>
  <si>
    <t>2022-11-09T12:49:49+00:01</t>
  </si>
  <si>
    <t>2022-11-09T12:49:49+00:02</t>
  </si>
  <si>
    <t>2022-11-09T12:49:49+00:03</t>
  </si>
  <si>
    <t>2022-11-09T12:49:49+00:04</t>
  </si>
  <si>
    <t>2022-11-09T12:49:49+00:05</t>
  </si>
  <si>
    <t>2022-11-09T12:49:49+00:06</t>
  </si>
  <si>
    <t>2022-11-09T12:49:49+00:07</t>
  </si>
  <si>
    <t>2022-11-09T12:49:49+00:08</t>
  </si>
  <si>
    <t>2022-11-09T12:49:49+00:09</t>
  </si>
  <si>
    <t>2022-11-09T12:49:49+00:10</t>
  </si>
  <si>
    <t>2022-11-09T12:49:49+00:11</t>
  </si>
  <si>
    <t>2022-11-09T12:49:49+00:12</t>
  </si>
  <si>
    <t>2022-11-09T12:49:49+00:13</t>
  </si>
  <si>
    <t>2022-11-09T12:49:49+00:14</t>
  </si>
  <si>
    <t>2022-11-09T12:49:49+00:15</t>
  </si>
  <si>
    <t>2022-11-09T12:49:49+00:16</t>
  </si>
  <si>
    <t>2022-11-09T12:49:49+00:17</t>
  </si>
  <si>
    <t>2022-11-09T12:49:49+00:18</t>
  </si>
  <si>
    <t>2022-11-09T12:49:49+00:19</t>
  </si>
  <si>
    <t>2022-11-09T12:49:49+00:20</t>
  </si>
  <si>
    <t>2022-11-09T12:49:49+00:21</t>
  </si>
  <si>
    <t>2022-11-09T12:49:49+00:22</t>
  </si>
  <si>
    <t>2022-11-09T12:49:49+00:23</t>
  </si>
  <si>
    <t>2022-11-09T12:49:49+00:24</t>
  </si>
  <si>
    <t>2022-11-09T12:49:49+00:25</t>
  </si>
  <si>
    <t>2022-11-09T12:49:49+00:26</t>
  </si>
  <si>
    <t>2022-11-09T12:49:49+00:27</t>
  </si>
  <si>
    <t>2022-11-09T12:49:49+00:28</t>
  </si>
  <si>
    <t>2022-11-09T12:49:49+00:29</t>
  </si>
  <si>
    <t>2022-11-09T12:49:49+00:30</t>
  </si>
  <si>
    <t>2022-11-09T12:49:49+00:31</t>
  </si>
  <si>
    <t>2022-11-09T12:49:49+00:32</t>
  </si>
  <si>
    <t>2022-11-09T12:49:49+00:33</t>
  </si>
  <si>
    <t>2022-11-09T12:49:49+00:34</t>
  </si>
  <si>
    <t>2022-11-09T12:49:49+00:35</t>
  </si>
  <si>
    <t>2022-11-09T12:49:49+00:36</t>
  </si>
  <si>
    <t>2022-11-09T12:49:49+00:37</t>
  </si>
  <si>
    <t>2022-11-09T12:49:49+00:38</t>
  </si>
  <si>
    <t>2022-11-09T12:49:49+00:39</t>
  </si>
  <si>
    <t>2022-11-09T12:49:49+00:40</t>
  </si>
  <si>
    <t>2022-11-09T12:49:49+00:41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</si>
</sst>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00000000000000000000000000000"/>
  </numFmts>
  <fonts count="9">
    <font>
      <sz val="11"/>
      <color theme="1"/>
      <name val="aptos narrow"/>
      <scheme val="minor"/>
    </font>
    <font>
      <sz val="11"/>
      <color rgb="FF000000"/>
      <name val="&quot;aptos narrow&quot;"/>
    </font>
    <font>
      <u/>
      <sz val="11"/>
      <color rgb="FF467886"/>
      <name val="&quot;aptos narrow&quot;"/>
    </font>
    <font>
      <sz val="11"/>
      <color theme="1"/>
      <name val="aptos narrow"/>
      <scheme val="minor"/>
    </font>
    <font>
      <sz val="11"/>
      <color theme="1"/>
      <name val="Arial"/>
    </font>
    <font>
      <sz val="11"/>
      <color theme="1"/>
      <name val="&quot;aptos narrow&quot;"/>
    </font>
    <font>
      <b/>
      <sz val="11"/>
      <color theme="1"/>
      <name val="aptos narrow"/>
      <scheme val="minor"/>
    </font>
    <font>
      <b/>
      <sz val="11"/>
      <color theme="1"/>
      <name val="Arial"/>
    </font>
    <font>
      <u/>
      <sz val="11"/>
      <color rgb="FF0000FF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  <fill>
      <patternFill patternType="solid">
        <fgColor rgb="FFB7B7B7"/>
        <bgColor rgb="FFB7B7B7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2" borderId="2" xfId="0" applyFont="1" applyFill="1" applyBorder="1"/>
    <xf numFmtId="0" fontId="1" fillId="0" borderId="3" xfId="0" applyFont="1" applyBorder="1"/>
    <xf numFmtId="0" fontId="1" fillId="0" borderId="4" xfId="0" applyFont="1" applyBorder="1"/>
    <xf numFmtId="0" fontId="2" fillId="0" borderId="4" xfId="0" applyFont="1" applyBorder="1"/>
    <xf numFmtId="0" fontId="1" fillId="0" borderId="4" xfId="0" applyFont="1" applyBorder="1" applyAlignment="1">
      <alignment horizontal="right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right"/>
    </xf>
    <xf numFmtId="0" fontId="6" fillId="3" borderId="0" xfId="0" applyFont="1" applyFill="1"/>
    <xf numFmtId="164" fontId="6" fillId="3" borderId="0" xfId="0" applyNumberFormat="1" applyFont="1" applyFill="1"/>
    <xf numFmtId="0" fontId="7" fillId="3" borderId="0" xfId="0" applyFont="1" applyFill="1"/>
    <xf numFmtId="0" fontId="3" fillId="4" borderId="0" xfId="0" applyFont="1" applyFill="1"/>
    <xf numFmtId="0" fontId="8" fillId="4" borderId="0" xfId="0" applyFont="1" applyFill="1"/>
    <xf numFmtId="164" fontId="3" fillId="4" borderId="0" xfId="0" applyNumberFormat="1" applyFont="1" applyFill="1"/>
    <xf numFmtId="0" fontId="2" fillId="0" borderId="0" xfId="0" applyFont="1"/>
    <xf numFmtId="0" fontId="4" fillId="0" borderId="0" xfId="0" applyFont="1" applyAlignment="1">
      <alignment horizontal="right"/>
    </xf>
    <xf numFmtId="0" fontId="1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cloudrf.com/documentation/developer/swagger-ui/" TargetMode="External"/><Relationship Id="rId18" Type="http://schemas.openxmlformats.org/officeDocument/2006/relationships/hyperlink" Target="https://cloudrf.com/documentation/developer/swagger-ui/" TargetMode="External"/><Relationship Id="rId26" Type="http://schemas.openxmlformats.org/officeDocument/2006/relationships/hyperlink" Target="https://cloudrf.com/documentation/developer/swagger-ui/" TargetMode="External"/><Relationship Id="rId39" Type="http://schemas.openxmlformats.org/officeDocument/2006/relationships/hyperlink" Target="https://cloudrf.com/documentation/developer/swagger-ui/" TargetMode="External"/><Relationship Id="rId21" Type="http://schemas.openxmlformats.org/officeDocument/2006/relationships/hyperlink" Target="https://cloudrf.com/documentation/developer/swagger-ui/" TargetMode="External"/><Relationship Id="rId34" Type="http://schemas.openxmlformats.org/officeDocument/2006/relationships/hyperlink" Target="https://cloudrf.com/documentation/developer/swagger-ui/" TargetMode="External"/><Relationship Id="rId42" Type="http://schemas.openxmlformats.org/officeDocument/2006/relationships/hyperlink" Target="https://cloudrf.com/documentation/developer/swagger-ui/" TargetMode="External"/><Relationship Id="rId7" Type="http://schemas.openxmlformats.org/officeDocument/2006/relationships/hyperlink" Target="https://cloudrf.com/documentation/developer/swagger-ui/" TargetMode="External"/><Relationship Id="rId2" Type="http://schemas.openxmlformats.org/officeDocument/2006/relationships/hyperlink" Target="https://cloudrf.com/documentation/developer/swagger-ui/" TargetMode="External"/><Relationship Id="rId16" Type="http://schemas.openxmlformats.org/officeDocument/2006/relationships/hyperlink" Target="https://cloudrf.com/documentation/developer/swagger-ui/" TargetMode="External"/><Relationship Id="rId20" Type="http://schemas.openxmlformats.org/officeDocument/2006/relationships/hyperlink" Target="https://cloudrf.com/documentation/developer/swagger-ui/" TargetMode="External"/><Relationship Id="rId29" Type="http://schemas.openxmlformats.org/officeDocument/2006/relationships/hyperlink" Target="https://cloudrf.com/documentation/developer/swagger-ui/" TargetMode="External"/><Relationship Id="rId41" Type="http://schemas.openxmlformats.org/officeDocument/2006/relationships/hyperlink" Target="https://cloudrf.com/documentation/developer/swagger-ui/" TargetMode="External"/><Relationship Id="rId1" Type="http://schemas.openxmlformats.org/officeDocument/2006/relationships/hyperlink" Target="https://cloudrf.com/documentation/developer/swagger-ui/" TargetMode="External"/><Relationship Id="rId6" Type="http://schemas.openxmlformats.org/officeDocument/2006/relationships/hyperlink" Target="https://cloudrf.com/documentation/developer/swagger-ui/" TargetMode="External"/><Relationship Id="rId11" Type="http://schemas.openxmlformats.org/officeDocument/2006/relationships/hyperlink" Target="https://cloudrf.com/documentation/developer/swagger-ui/" TargetMode="External"/><Relationship Id="rId24" Type="http://schemas.openxmlformats.org/officeDocument/2006/relationships/hyperlink" Target="https://cloudrf.com/documentation/developer/swagger-ui/" TargetMode="External"/><Relationship Id="rId32" Type="http://schemas.openxmlformats.org/officeDocument/2006/relationships/hyperlink" Target="https://cloudrf.com/documentation/developer/swagger-ui/" TargetMode="External"/><Relationship Id="rId37" Type="http://schemas.openxmlformats.org/officeDocument/2006/relationships/hyperlink" Target="https://cloudrf.com/documentation/developer/swagger-ui/" TargetMode="External"/><Relationship Id="rId40" Type="http://schemas.openxmlformats.org/officeDocument/2006/relationships/hyperlink" Target="https://cloudrf.com/documentation/developer/swagger-ui/" TargetMode="External"/><Relationship Id="rId5" Type="http://schemas.openxmlformats.org/officeDocument/2006/relationships/hyperlink" Target="https://cloudrf.com/documentation/developer/swagger-ui/" TargetMode="External"/><Relationship Id="rId15" Type="http://schemas.openxmlformats.org/officeDocument/2006/relationships/hyperlink" Target="https://cloudrf.com/documentation/developer/swagger-ui/" TargetMode="External"/><Relationship Id="rId23" Type="http://schemas.openxmlformats.org/officeDocument/2006/relationships/hyperlink" Target="https://cloudrf.com/documentation/developer/swagger-ui/" TargetMode="External"/><Relationship Id="rId28" Type="http://schemas.openxmlformats.org/officeDocument/2006/relationships/hyperlink" Target="https://cloudrf.com/documentation/developer/swagger-ui/" TargetMode="External"/><Relationship Id="rId36" Type="http://schemas.openxmlformats.org/officeDocument/2006/relationships/hyperlink" Target="https://cloudrf.com/documentation/developer/swagger-ui/" TargetMode="External"/><Relationship Id="rId10" Type="http://schemas.openxmlformats.org/officeDocument/2006/relationships/hyperlink" Target="https://cloudrf.com/documentation/developer/swagger-ui/" TargetMode="External"/><Relationship Id="rId19" Type="http://schemas.openxmlformats.org/officeDocument/2006/relationships/hyperlink" Target="https://cloudrf.com/documentation/developer/swagger-ui/" TargetMode="External"/><Relationship Id="rId31" Type="http://schemas.openxmlformats.org/officeDocument/2006/relationships/hyperlink" Target="https://cloudrf.com/documentation/developer/swagger-ui/" TargetMode="External"/><Relationship Id="rId4" Type="http://schemas.openxmlformats.org/officeDocument/2006/relationships/hyperlink" Target="https://cloudrf.com/documentation/developer/swagger-ui/" TargetMode="External"/><Relationship Id="rId9" Type="http://schemas.openxmlformats.org/officeDocument/2006/relationships/hyperlink" Target="https://cloudrf.com/documentation/developer/swagger-ui/" TargetMode="External"/><Relationship Id="rId14" Type="http://schemas.openxmlformats.org/officeDocument/2006/relationships/hyperlink" Target="https://cloudrf.com/documentation/developer/swagger-ui/" TargetMode="External"/><Relationship Id="rId22" Type="http://schemas.openxmlformats.org/officeDocument/2006/relationships/hyperlink" Target="https://cloudrf.com/documentation/developer/swagger-ui/" TargetMode="External"/><Relationship Id="rId27" Type="http://schemas.openxmlformats.org/officeDocument/2006/relationships/hyperlink" Target="https://cloudrf.com/documentation/developer/swagger-ui/" TargetMode="External"/><Relationship Id="rId30" Type="http://schemas.openxmlformats.org/officeDocument/2006/relationships/hyperlink" Target="https://cloudrf.com/documentation/developer/swagger-ui/" TargetMode="External"/><Relationship Id="rId35" Type="http://schemas.openxmlformats.org/officeDocument/2006/relationships/hyperlink" Target="https://cloudrf.com/documentation/developer/swagger-ui/" TargetMode="External"/><Relationship Id="rId8" Type="http://schemas.openxmlformats.org/officeDocument/2006/relationships/hyperlink" Target="https://cloudrf.com/documentation/developer/swagger-ui/" TargetMode="External"/><Relationship Id="rId3" Type="http://schemas.openxmlformats.org/officeDocument/2006/relationships/hyperlink" Target="https://cloudrf.com/documentation/developer/swagger-ui/" TargetMode="External"/><Relationship Id="rId12" Type="http://schemas.openxmlformats.org/officeDocument/2006/relationships/hyperlink" Target="https://cloudrf.com/documentation/developer/swagger-ui/" TargetMode="External"/><Relationship Id="rId17" Type="http://schemas.openxmlformats.org/officeDocument/2006/relationships/hyperlink" Target="https://cloudrf.com/documentation/developer/swagger-ui/" TargetMode="External"/><Relationship Id="rId25" Type="http://schemas.openxmlformats.org/officeDocument/2006/relationships/hyperlink" Target="https://cloudrf.com/documentation/developer/swagger-ui/" TargetMode="External"/><Relationship Id="rId33" Type="http://schemas.openxmlformats.org/officeDocument/2006/relationships/hyperlink" Target="https://cloudrf.com/documentation/developer/swagger-ui/" TargetMode="External"/><Relationship Id="rId38" Type="http://schemas.openxmlformats.org/officeDocument/2006/relationships/hyperlink" Target="https://cloudrf.com/documentation/developer/swagger-u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5"/>
  <sheetViews>
    <sheetView workbookViewId="0"/>
  </sheetViews>
  <sheetFormatPr defaultColWidth="12.5703125" defaultRowHeight="15" customHeight="1"/>
  <cols>
    <col min="2" max="2" width="20.42578125" customWidth="1"/>
    <col min="3" max="3" width="47.7109375" customWidth="1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1"/>
      <c r="B2" s="20" t="s">
        <v>0</v>
      </c>
      <c r="C2" s="21"/>
      <c r="D2" s="21"/>
      <c r="E2" s="21"/>
      <c r="F2" s="1"/>
      <c r="G2" s="1"/>
      <c r="H2" s="1"/>
      <c r="I2" s="1"/>
      <c r="J2" s="1"/>
    </row>
    <row r="3" spans="1:10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>
      <c r="A4" s="1"/>
      <c r="B4" s="2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</row>
    <row r="5" spans="1:10">
      <c r="A5" s="1"/>
      <c r="B5" s="4" t="s">
        <v>10</v>
      </c>
      <c r="C5" s="5" t="s">
        <v>11</v>
      </c>
      <c r="D5" s="5" t="s">
        <v>12</v>
      </c>
      <c r="E5" s="5" t="s">
        <v>13</v>
      </c>
      <c r="F5" s="6" t="s">
        <v>14</v>
      </c>
      <c r="G5" s="7">
        <v>1350</v>
      </c>
      <c r="H5" s="7">
        <v>1</v>
      </c>
      <c r="I5" s="7">
        <v>1.25</v>
      </c>
      <c r="J5" s="7">
        <v>3</v>
      </c>
    </row>
    <row r="6" spans="1:10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>
      <c r="A7" s="1"/>
      <c r="B7" s="20" t="s">
        <v>15</v>
      </c>
      <c r="C7" s="21"/>
      <c r="D7" s="21"/>
      <c r="E7" s="21"/>
      <c r="F7" s="21"/>
      <c r="G7" s="21"/>
      <c r="H7" s="21"/>
      <c r="I7" s="1"/>
      <c r="J7" s="1"/>
    </row>
    <row r="8" spans="1:10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>
      <c r="A9" s="1"/>
      <c r="B9" s="20" t="s">
        <v>16</v>
      </c>
      <c r="C9" s="21"/>
      <c r="D9" s="21"/>
      <c r="E9" s="21"/>
      <c r="F9" s="21"/>
      <c r="G9" s="21"/>
      <c r="H9" s="21"/>
      <c r="I9" s="21"/>
      <c r="J9" s="21"/>
    </row>
    <row r="10" spans="1:10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>
      <c r="A11" s="1"/>
      <c r="B11" s="20" t="s">
        <v>17</v>
      </c>
      <c r="C11" s="21"/>
      <c r="D11" s="1"/>
      <c r="E11" s="1"/>
      <c r="F11" s="1"/>
      <c r="G11" s="1"/>
      <c r="H11" s="1"/>
      <c r="I11" s="1"/>
      <c r="J11" s="1"/>
    </row>
    <row r="12" spans="1:10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>
      <c r="A13" s="1"/>
      <c r="B13" s="20" t="s">
        <v>18</v>
      </c>
      <c r="C13" s="21"/>
      <c r="D13" s="1"/>
      <c r="E13" s="1"/>
      <c r="F13" s="1"/>
      <c r="G13" s="1"/>
      <c r="H13" s="1"/>
      <c r="I13" s="1"/>
      <c r="J13" s="1"/>
    </row>
    <row r="14" spans="1:10">
      <c r="A14" s="1"/>
      <c r="B14" s="20" t="s">
        <v>19</v>
      </c>
      <c r="C14" s="21"/>
      <c r="D14" s="21"/>
      <c r="E14" s="1"/>
      <c r="F14" s="1"/>
      <c r="G14" s="1"/>
      <c r="H14" s="1"/>
      <c r="I14" s="1"/>
      <c r="J14" s="1"/>
    </row>
    <row r="15" spans="1:10">
      <c r="A15" s="1"/>
      <c r="B15" s="20" t="s">
        <v>20</v>
      </c>
      <c r="C15" s="21"/>
      <c r="D15" s="21"/>
      <c r="E15" s="21"/>
      <c r="F15" s="1"/>
      <c r="G15" s="1"/>
      <c r="H15" s="1"/>
      <c r="I15" s="1"/>
      <c r="J15" s="1"/>
    </row>
  </sheetData>
  <mergeCells count="7">
    <mergeCell ref="B14:D14"/>
    <mergeCell ref="B15:E15"/>
    <mergeCell ref="B2:E2"/>
    <mergeCell ref="B7:H7"/>
    <mergeCell ref="B9:J9"/>
    <mergeCell ref="B11:C11"/>
    <mergeCell ref="B13:C13"/>
  </mergeCell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tabSelected="1" workbookViewId="0">
      <pane ySplit="1" topLeftCell="A2" activePane="bottomLeft" state="frozen"/>
      <selection pane="bottomLeft" activeCell="B27" sqref="B27"/>
    </sheetView>
  </sheetViews>
  <sheetFormatPr defaultColWidth="12.5703125" defaultRowHeight="15" customHeight="1"/>
  <cols>
    <col min="1" max="1" width="43.7109375" customWidth="1"/>
    <col min="2" max="2" width="31.5703125" customWidth="1"/>
    <col min="3" max="3" width="6.28515625" customWidth="1"/>
    <col min="4" max="4" width="9" customWidth="1"/>
    <col min="5" max="5" width="5.5703125" customWidth="1"/>
    <col min="6" max="6" width="10.5703125" customWidth="1"/>
    <col min="7" max="7" width="8.5703125" customWidth="1"/>
    <col min="8" max="8" width="10.7109375" customWidth="1"/>
    <col min="9" max="9" width="10.5703125" customWidth="1"/>
    <col min="10" max="26" width="8.5703125" customWidth="1"/>
  </cols>
  <sheetData>
    <row r="1" spans="1:10" ht="14.45">
      <c r="A1" s="8" t="s">
        <v>1</v>
      </c>
      <c r="B1" s="8" t="s">
        <v>21</v>
      </c>
      <c r="C1" s="8" t="s">
        <v>3</v>
      </c>
      <c r="D1" s="8" t="s">
        <v>4</v>
      </c>
      <c r="E1" s="8" t="s">
        <v>5</v>
      </c>
      <c r="F1" s="8" t="s">
        <v>22</v>
      </c>
      <c r="G1" s="8" t="s">
        <v>7</v>
      </c>
      <c r="H1" s="8" t="s">
        <v>23</v>
      </c>
      <c r="I1" s="9" t="s">
        <v>24</v>
      </c>
      <c r="J1" s="8" t="s">
        <v>25</v>
      </c>
    </row>
    <row r="2" spans="1:10" ht="14.45">
      <c r="A2" s="10" t="str">
        <f>C2&amp;" ("&amp;D2&amp;" "&amp;E2&amp;" "&amp;$E$1&amp;", "&amp;G2&amp;$G$1&amp;", "&amp;H2&amp;$H$1&amp;")"</f>
        <v>Silvus (4200 E L Band, 1W Power, 1.25MHz Bandwidth )</v>
      </c>
      <c r="B2" s="10" t="s">
        <v>11</v>
      </c>
      <c r="C2" s="10" t="s">
        <v>26</v>
      </c>
      <c r="D2" s="10" t="s">
        <v>13</v>
      </c>
      <c r="E2" s="18" t="s">
        <v>14</v>
      </c>
      <c r="F2" s="11">
        <v>1350</v>
      </c>
      <c r="G2" s="11">
        <v>1</v>
      </c>
      <c r="H2" s="11">
        <v>1.25</v>
      </c>
      <c r="I2" s="11">
        <v>3</v>
      </c>
    </row>
    <row r="3" spans="1:10" ht="14.45">
      <c r="A3" s="10" t="str">
        <f t="shared" ref="A3:A43" si="0">C3&amp;" ("&amp;D3&amp;" "&amp;E3&amp;" "&amp;$E$1&amp;", "&amp;G3&amp;$G$1&amp;", "&amp;H3&amp;$H$1&amp;")"</f>
        <v>Silvus (4200 E S Band, 1W Power, 1.25MHz Bandwidth )</v>
      </c>
      <c r="B3" s="10" t="s">
        <v>11</v>
      </c>
      <c r="C3" s="10" t="s">
        <v>26</v>
      </c>
      <c r="D3" s="10" t="s">
        <v>13</v>
      </c>
      <c r="E3" s="10" t="s">
        <v>27</v>
      </c>
      <c r="F3" s="11">
        <v>2200</v>
      </c>
      <c r="G3" s="11">
        <v>1</v>
      </c>
      <c r="H3" s="11">
        <v>1.25</v>
      </c>
      <c r="I3" s="11">
        <v>3</v>
      </c>
    </row>
    <row r="4" spans="1:10" ht="14.45">
      <c r="A4" s="10" t="str">
        <f t="shared" si="0"/>
        <v>Silvus (4200 E UHF Band, 1W Power, 1.25MHz Bandwidth )</v>
      </c>
      <c r="B4" s="10" t="s">
        <v>11</v>
      </c>
      <c r="C4" s="10" t="s">
        <v>26</v>
      </c>
      <c r="D4" s="10" t="s">
        <v>13</v>
      </c>
      <c r="E4" s="10" t="s">
        <v>28</v>
      </c>
      <c r="F4" s="11">
        <v>420</v>
      </c>
      <c r="G4" s="11">
        <v>1</v>
      </c>
      <c r="H4" s="11">
        <v>1.25</v>
      </c>
      <c r="I4" s="11">
        <v>3</v>
      </c>
    </row>
    <row r="5" spans="1:10" ht="14.45">
      <c r="A5" s="10" t="str">
        <f t="shared" si="0"/>
        <v>Silvus (4200 E L Band, 4W Power, 1.25MHz Bandwidth )</v>
      </c>
      <c r="B5" s="10" t="s">
        <v>11</v>
      </c>
      <c r="C5" s="10" t="s">
        <v>26</v>
      </c>
      <c r="D5" s="10" t="s">
        <v>13</v>
      </c>
      <c r="E5" s="18" t="s">
        <v>14</v>
      </c>
      <c r="F5" s="11">
        <v>1350</v>
      </c>
      <c r="G5" s="11">
        <v>4</v>
      </c>
      <c r="H5" s="11">
        <v>1.25</v>
      </c>
      <c r="I5" s="11">
        <v>3</v>
      </c>
    </row>
    <row r="6" spans="1:10" ht="14.45">
      <c r="A6" s="10" t="str">
        <f t="shared" si="0"/>
        <v>Silvus (4200 E S Band, 4W Power, 1.25MHz Bandwidth )</v>
      </c>
      <c r="B6" s="10" t="s">
        <v>11</v>
      </c>
      <c r="C6" s="10" t="s">
        <v>26</v>
      </c>
      <c r="D6" s="10" t="s">
        <v>13</v>
      </c>
      <c r="E6" s="10" t="s">
        <v>27</v>
      </c>
      <c r="F6" s="11">
        <v>2200</v>
      </c>
      <c r="G6" s="11">
        <v>4</v>
      </c>
      <c r="H6" s="11">
        <v>1.25</v>
      </c>
      <c r="I6" s="11">
        <v>3</v>
      </c>
    </row>
    <row r="7" spans="1:10" ht="14.45">
      <c r="A7" s="10" t="str">
        <f t="shared" si="0"/>
        <v>Silvus (4200 E UHF Band, 4W Power, 1.25MHz Bandwidth )</v>
      </c>
      <c r="B7" s="10" t="s">
        <v>11</v>
      </c>
      <c r="C7" s="10" t="s">
        <v>26</v>
      </c>
      <c r="D7" s="10" t="s">
        <v>13</v>
      </c>
      <c r="E7" s="10" t="s">
        <v>28</v>
      </c>
      <c r="F7" s="11">
        <v>420</v>
      </c>
      <c r="G7" s="11">
        <v>4</v>
      </c>
      <c r="H7" s="11">
        <v>1.25</v>
      </c>
      <c r="I7" s="11">
        <v>3</v>
      </c>
    </row>
    <row r="8" spans="1:10" ht="14.45">
      <c r="A8" s="10" t="str">
        <f t="shared" si="0"/>
        <v>Silvus (4200 E L Band, 10W Power, 1.25MHz Bandwidth )</v>
      </c>
      <c r="B8" s="10" t="s">
        <v>11</v>
      </c>
      <c r="C8" s="10" t="s">
        <v>26</v>
      </c>
      <c r="D8" s="10" t="s">
        <v>13</v>
      </c>
      <c r="E8" s="18" t="s">
        <v>14</v>
      </c>
      <c r="F8" s="11">
        <v>1350</v>
      </c>
      <c r="G8" s="11">
        <v>10</v>
      </c>
      <c r="H8" s="11">
        <v>1.25</v>
      </c>
      <c r="I8" s="11">
        <v>3</v>
      </c>
    </row>
    <row r="9" spans="1:10" ht="14.45">
      <c r="A9" s="10" t="str">
        <f t="shared" si="0"/>
        <v>Silvus (4200 E S Band, 10W Power, 1.25MHz Bandwidth )</v>
      </c>
      <c r="B9" s="10" t="s">
        <v>11</v>
      </c>
      <c r="C9" s="10" t="s">
        <v>26</v>
      </c>
      <c r="D9" s="10" t="s">
        <v>13</v>
      </c>
      <c r="E9" s="10" t="s">
        <v>27</v>
      </c>
      <c r="F9" s="11">
        <v>2200</v>
      </c>
      <c r="G9" s="11">
        <v>10</v>
      </c>
      <c r="H9" s="11">
        <v>1.25</v>
      </c>
      <c r="I9" s="11">
        <v>3</v>
      </c>
    </row>
    <row r="10" spans="1:10" ht="14.45">
      <c r="A10" s="10" t="str">
        <f t="shared" si="0"/>
        <v>Silvus (4200 E UHF Band, 10W Power, 1.25MHz Bandwidth )</v>
      </c>
      <c r="B10" s="10" t="s">
        <v>11</v>
      </c>
      <c r="C10" s="10" t="s">
        <v>26</v>
      </c>
      <c r="D10" s="10" t="s">
        <v>13</v>
      </c>
      <c r="E10" s="10" t="s">
        <v>28</v>
      </c>
      <c r="F10" s="11">
        <v>420</v>
      </c>
      <c r="G10" s="11">
        <v>10</v>
      </c>
      <c r="H10" s="11">
        <v>1.25</v>
      </c>
      <c r="I10" s="11">
        <v>3</v>
      </c>
    </row>
    <row r="11" spans="1:10" ht="14.45">
      <c r="A11" s="10" t="str">
        <f t="shared" si="0"/>
        <v>Silvus (4200 E L Band, 1W Power, 20MHz Bandwidth )</v>
      </c>
      <c r="B11" s="10" t="s">
        <v>11</v>
      </c>
      <c r="C11" s="10" t="s">
        <v>26</v>
      </c>
      <c r="D11" s="10" t="s">
        <v>13</v>
      </c>
      <c r="E11" s="18" t="s">
        <v>14</v>
      </c>
      <c r="F11" s="11">
        <v>1350</v>
      </c>
      <c r="G11" s="11">
        <v>1</v>
      </c>
      <c r="H11" s="11">
        <v>20</v>
      </c>
      <c r="I11" s="11">
        <v>3</v>
      </c>
    </row>
    <row r="12" spans="1:10" ht="14.45">
      <c r="A12" s="10" t="str">
        <f t="shared" si="0"/>
        <v>Silvus (4200 E S Band, 1W Power, 20MHz Bandwidth )</v>
      </c>
      <c r="B12" s="10" t="s">
        <v>11</v>
      </c>
      <c r="C12" s="10" t="s">
        <v>26</v>
      </c>
      <c r="D12" s="10" t="s">
        <v>13</v>
      </c>
      <c r="E12" s="10" t="s">
        <v>27</v>
      </c>
      <c r="F12" s="11">
        <v>2200</v>
      </c>
      <c r="G12" s="11">
        <v>1</v>
      </c>
      <c r="H12" s="11">
        <v>20</v>
      </c>
      <c r="I12" s="11">
        <v>3</v>
      </c>
    </row>
    <row r="13" spans="1:10" ht="14.45">
      <c r="A13" s="10" t="str">
        <f t="shared" si="0"/>
        <v>Silvus (4200 E UHF Band, 1W Power, 20MHz Bandwidth )</v>
      </c>
      <c r="B13" s="10" t="s">
        <v>11</v>
      </c>
      <c r="C13" s="10" t="s">
        <v>26</v>
      </c>
      <c r="D13" s="10" t="s">
        <v>13</v>
      </c>
      <c r="E13" s="10" t="s">
        <v>28</v>
      </c>
      <c r="F13" s="11">
        <v>420</v>
      </c>
      <c r="G13" s="11">
        <v>1</v>
      </c>
      <c r="H13" s="11">
        <v>20</v>
      </c>
      <c r="I13" s="11">
        <v>3</v>
      </c>
    </row>
    <row r="14" spans="1:10" ht="14.45">
      <c r="A14" s="10" t="str">
        <f t="shared" si="0"/>
        <v>Silvus (4200 E L Band, 4W Power, 20MHz Bandwidth )</v>
      </c>
      <c r="B14" s="10" t="s">
        <v>11</v>
      </c>
      <c r="C14" s="10" t="s">
        <v>26</v>
      </c>
      <c r="D14" s="10" t="s">
        <v>13</v>
      </c>
      <c r="E14" s="18" t="s">
        <v>14</v>
      </c>
      <c r="F14" s="11">
        <v>1350</v>
      </c>
      <c r="G14" s="11">
        <v>4</v>
      </c>
      <c r="H14" s="11">
        <v>20</v>
      </c>
      <c r="I14" s="11">
        <v>3</v>
      </c>
    </row>
    <row r="15" spans="1:10" ht="14.45">
      <c r="A15" s="10" t="str">
        <f t="shared" si="0"/>
        <v>Silvus (4200 E S Band, 4W Power, 20MHz Bandwidth )</v>
      </c>
      <c r="B15" s="10" t="s">
        <v>11</v>
      </c>
      <c r="C15" s="10" t="s">
        <v>26</v>
      </c>
      <c r="D15" s="10" t="s">
        <v>13</v>
      </c>
      <c r="E15" s="10" t="s">
        <v>27</v>
      </c>
      <c r="F15" s="11">
        <v>2200</v>
      </c>
      <c r="G15" s="11">
        <v>4</v>
      </c>
      <c r="H15" s="11">
        <v>20</v>
      </c>
      <c r="I15" s="11">
        <v>3</v>
      </c>
    </row>
    <row r="16" spans="1:10" ht="14.45">
      <c r="A16" s="10" t="str">
        <f t="shared" si="0"/>
        <v>Silvus (4200 E UHF Band, 4W Power, 20MHz Bandwidth )</v>
      </c>
      <c r="B16" s="10" t="s">
        <v>11</v>
      </c>
      <c r="C16" s="10" t="s">
        <v>26</v>
      </c>
      <c r="D16" s="10" t="s">
        <v>13</v>
      </c>
      <c r="E16" s="10" t="s">
        <v>28</v>
      </c>
      <c r="F16" s="11">
        <v>420</v>
      </c>
      <c r="G16" s="11">
        <v>4</v>
      </c>
      <c r="H16" s="11">
        <v>20</v>
      </c>
      <c r="I16" s="11">
        <v>3</v>
      </c>
    </row>
    <row r="17" spans="1:9" ht="14.45">
      <c r="A17" s="10" t="str">
        <f t="shared" si="0"/>
        <v>Silvus (4200 E L Band, 10W Power, 20MHz Bandwidth )</v>
      </c>
      <c r="B17" s="10" t="s">
        <v>11</v>
      </c>
      <c r="C17" s="10" t="s">
        <v>26</v>
      </c>
      <c r="D17" s="10" t="s">
        <v>13</v>
      </c>
      <c r="E17" s="18" t="s">
        <v>14</v>
      </c>
      <c r="F17" s="11">
        <v>1350</v>
      </c>
      <c r="G17" s="11">
        <v>10</v>
      </c>
      <c r="H17" s="11">
        <v>20</v>
      </c>
      <c r="I17" s="11">
        <v>3</v>
      </c>
    </row>
    <row r="18" spans="1:9" ht="14.45">
      <c r="A18" s="10" t="str">
        <f t="shared" si="0"/>
        <v>Silvus (4200 E S Band, 10W Power, 20MHz Bandwidth )</v>
      </c>
      <c r="B18" s="10" t="s">
        <v>11</v>
      </c>
      <c r="C18" s="10" t="s">
        <v>26</v>
      </c>
      <c r="D18" s="10" t="s">
        <v>13</v>
      </c>
      <c r="E18" s="10" t="s">
        <v>27</v>
      </c>
      <c r="F18" s="11">
        <v>2200</v>
      </c>
      <c r="G18" s="11">
        <v>10</v>
      </c>
      <c r="H18" s="11">
        <v>20</v>
      </c>
      <c r="I18" s="11">
        <v>3</v>
      </c>
    </row>
    <row r="19" spans="1:9" ht="14.45">
      <c r="A19" s="10" t="str">
        <f t="shared" si="0"/>
        <v>Silvus (4200 E UHF Band, 10W Power, 20MHz Bandwidth )</v>
      </c>
      <c r="B19" s="10" t="s">
        <v>11</v>
      </c>
      <c r="C19" s="10" t="s">
        <v>26</v>
      </c>
      <c r="D19" s="10" t="s">
        <v>13</v>
      </c>
      <c r="E19" s="10" t="s">
        <v>28</v>
      </c>
      <c r="F19" s="11">
        <v>420</v>
      </c>
      <c r="G19" s="11">
        <v>10</v>
      </c>
      <c r="H19" s="11">
        <v>20</v>
      </c>
      <c r="I19" s="11">
        <v>3</v>
      </c>
    </row>
    <row r="20" spans="1:9" ht="14.45">
      <c r="A20" s="10" t="str">
        <f t="shared" si="0"/>
        <v>Silvus (4200 L L Band, 1W Power, 1.25MHz Bandwidth )</v>
      </c>
      <c r="B20" s="10" t="s">
        <v>29</v>
      </c>
      <c r="C20" s="10" t="s">
        <v>26</v>
      </c>
      <c r="D20" s="10" t="s">
        <v>30</v>
      </c>
      <c r="E20" s="10" t="s">
        <v>14</v>
      </c>
      <c r="F20" s="11">
        <v>1350</v>
      </c>
      <c r="G20" s="11">
        <v>1</v>
      </c>
      <c r="H20" s="11">
        <v>1.25</v>
      </c>
      <c r="I20" s="11">
        <v>3</v>
      </c>
    </row>
    <row r="21" spans="1:9" ht="15.75" customHeight="1">
      <c r="A21" s="10" t="str">
        <f t="shared" si="0"/>
        <v>Silvus (4200 L S Band, 1W Power, 1.25MHz Bandwidth )</v>
      </c>
      <c r="B21" s="10" t="s">
        <v>29</v>
      </c>
      <c r="C21" s="10" t="s">
        <v>26</v>
      </c>
      <c r="D21" s="10" t="s">
        <v>30</v>
      </c>
      <c r="E21" s="10" t="s">
        <v>27</v>
      </c>
      <c r="F21" s="11">
        <v>2200</v>
      </c>
      <c r="G21" s="11">
        <v>1</v>
      </c>
      <c r="H21" s="11">
        <v>1.25</v>
      </c>
      <c r="I21" s="11">
        <v>3</v>
      </c>
    </row>
    <row r="22" spans="1:9" ht="15.75" customHeight="1">
      <c r="A22" s="10" t="str">
        <f t="shared" si="0"/>
        <v>Silvus (4200 L L Band, 1W Power, 5MHz Bandwidth )</v>
      </c>
      <c r="B22" s="10" t="s">
        <v>29</v>
      </c>
      <c r="C22" s="10" t="s">
        <v>26</v>
      </c>
      <c r="D22" s="10" t="s">
        <v>30</v>
      </c>
      <c r="E22" s="10" t="s">
        <v>14</v>
      </c>
      <c r="F22" s="11">
        <v>1350</v>
      </c>
      <c r="G22" s="11">
        <v>1</v>
      </c>
      <c r="H22" s="11">
        <v>5</v>
      </c>
      <c r="I22" s="11">
        <v>3</v>
      </c>
    </row>
    <row r="23" spans="1:9" ht="15.75" customHeight="1">
      <c r="A23" s="10" t="str">
        <f t="shared" si="0"/>
        <v>Silvus (4200 L S Band, 1W Power, 5MHz Bandwidth )</v>
      </c>
      <c r="B23" s="10" t="s">
        <v>29</v>
      </c>
      <c r="C23" s="10" t="s">
        <v>26</v>
      </c>
      <c r="D23" s="10" t="s">
        <v>30</v>
      </c>
      <c r="E23" s="10" t="s">
        <v>27</v>
      </c>
      <c r="F23" s="11">
        <v>2200</v>
      </c>
      <c r="G23" s="11">
        <v>1</v>
      </c>
      <c r="H23" s="11">
        <v>5</v>
      </c>
      <c r="I23" s="11">
        <v>3</v>
      </c>
    </row>
    <row r="24" spans="1:9" ht="15.75" customHeight="1">
      <c r="A24" s="10" t="str">
        <f t="shared" si="0"/>
        <v>Silvus (4400 E L Band, 1W Power, 1.25MHz Bandwidth )</v>
      </c>
      <c r="B24" s="10" t="s">
        <v>31</v>
      </c>
      <c r="C24" s="10" t="s">
        <v>26</v>
      </c>
      <c r="D24" s="10" t="s">
        <v>32</v>
      </c>
      <c r="E24" s="18" t="s">
        <v>14</v>
      </c>
      <c r="F24" s="11">
        <v>1350</v>
      </c>
      <c r="G24" s="11">
        <v>1</v>
      </c>
      <c r="H24" s="11">
        <v>1.25</v>
      </c>
      <c r="I24" s="11">
        <v>6</v>
      </c>
    </row>
    <row r="25" spans="1:9" ht="15.75" customHeight="1">
      <c r="A25" s="10" t="str">
        <f t="shared" si="0"/>
        <v>Silvus (4400 E S Band, 1W Power, 1.25MHz Bandwidth )</v>
      </c>
      <c r="B25" s="10" t="s">
        <v>31</v>
      </c>
      <c r="C25" s="10" t="s">
        <v>26</v>
      </c>
      <c r="D25" s="10" t="s">
        <v>32</v>
      </c>
      <c r="E25" s="10" t="s">
        <v>27</v>
      </c>
      <c r="F25" s="11">
        <v>2200</v>
      </c>
      <c r="G25" s="11">
        <v>1</v>
      </c>
      <c r="H25" s="11">
        <v>1.25</v>
      </c>
      <c r="I25" s="11">
        <v>6</v>
      </c>
    </row>
    <row r="26" spans="1:9" ht="15.75" customHeight="1">
      <c r="A26" s="10" t="str">
        <f t="shared" si="0"/>
        <v>Silvus (4400 E UHF Band, 1W Power, 1.25MHz Bandwidth )</v>
      </c>
      <c r="B26" s="10" t="s">
        <v>31</v>
      </c>
      <c r="C26" s="10" t="s">
        <v>26</v>
      </c>
      <c r="D26" s="10" t="s">
        <v>32</v>
      </c>
      <c r="E26" s="10" t="s">
        <v>28</v>
      </c>
      <c r="F26" s="11">
        <v>420</v>
      </c>
      <c r="G26" s="11">
        <v>1</v>
      </c>
      <c r="H26" s="11">
        <v>1.25</v>
      </c>
      <c r="I26" s="11">
        <v>6</v>
      </c>
    </row>
    <row r="27" spans="1:9" ht="15.75" customHeight="1">
      <c r="A27" s="10" t="str">
        <f t="shared" si="0"/>
        <v>Silvus (4400 E L Band, 4W Power, 1.25MHz Bandwidth )</v>
      </c>
      <c r="B27" s="10" t="s">
        <v>31</v>
      </c>
      <c r="C27" s="10" t="s">
        <v>26</v>
      </c>
      <c r="D27" s="10" t="s">
        <v>32</v>
      </c>
      <c r="E27" s="18" t="s">
        <v>14</v>
      </c>
      <c r="F27" s="11">
        <v>1350</v>
      </c>
      <c r="G27" s="11">
        <v>4</v>
      </c>
      <c r="H27" s="11">
        <v>1.25</v>
      </c>
      <c r="I27" s="11">
        <v>6</v>
      </c>
    </row>
    <row r="28" spans="1:9" ht="15.75" customHeight="1">
      <c r="A28" s="10" t="str">
        <f t="shared" si="0"/>
        <v>Silvus (4400 E S Band, 4W Power, 1.25MHz Bandwidth )</v>
      </c>
      <c r="B28" s="10" t="s">
        <v>31</v>
      </c>
      <c r="C28" s="10" t="s">
        <v>26</v>
      </c>
      <c r="D28" s="10" t="s">
        <v>32</v>
      </c>
      <c r="E28" s="10" t="s">
        <v>27</v>
      </c>
      <c r="F28" s="11">
        <v>2200</v>
      </c>
      <c r="G28" s="11">
        <v>4</v>
      </c>
      <c r="H28" s="11">
        <v>1.25</v>
      </c>
      <c r="I28" s="11">
        <v>6</v>
      </c>
    </row>
    <row r="29" spans="1:9" ht="15.75" customHeight="1">
      <c r="A29" s="10" t="str">
        <f t="shared" si="0"/>
        <v>Silvus (4400 E UHF Band, 4W Power, 1.25MHz Bandwidth )</v>
      </c>
      <c r="B29" s="10" t="s">
        <v>31</v>
      </c>
      <c r="C29" s="10" t="s">
        <v>26</v>
      </c>
      <c r="D29" s="10" t="s">
        <v>32</v>
      </c>
      <c r="E29" s="10" t="s">
        <v>28</v>
      </c>
      <c r="F29" s="11">
        <v>420</v>
      </c>
      <c r="G29" s="11">
        <v>4</v>
      </c>
      <c r="H29" s="11">
        <v>1.25</v>
      </c>
      <c r="I29" s="11">
        <v>6</v>
      </c>
    </row>
    <row r="30" spans="1:9" ht="15.75" customHeight="1">
      <c r="A30" s="10" t="str">
        <f t="shared" si="0"/>
        <v>Silvus (4400 E L Band, 10W Power, 1.25MHz Bandwidth )</v>
      </c>
      <c r="B30" s="10" t="s">
        <v>31</v>
      </c>
      <c r="C30" s="10" t="s">
        <v>26</v>
      </c>
      <c r="D30" s="10" t="s">
        <v>32</v>
      </c>
      <c r="E30" s="18" t="s">
        <v>14</v>
      </c>
      <c r="F30" s="11">
        <v>1350</v>
      </c>
      <c r="G30" s="11">
        <v>10</v>
      </c>
      <c r="H30" s="11">
        <v>1.25</v>
      </c>
      <c r="I30" s="11">
        <v>6</v>
      </c>
    </row>
    <row r="31" spans="1:9" ht="15.75" customHeight="1">
      <c r="A31" s="10" t="str">
        <f t="shared" si="0"/>
        <v>Silvus (4400 E S Band, 10W Power, 1.25MHz Bandwidth )</v>
      </c>
      <c r="B31" s="10" t="s">
        <v>31</v>
      </c>
      <c r="C31" s="10" t="s">
        <v>26</v>
      </c>
      <c r="D31" s="10" t="s">
        <v>32</v>
      </c>
      <c r="E31" s="10" t="s">
        <v>27</v>
      </c>
      <c r="F31" s="11">
        <v>2200</v>
      </c>
      <c r="G31" s="11">
        <v>10</v>
      </c>
      <c r="H31" s="11">
        <v>1.25</v>
      </c>
      <c r="I31" s="11">
        <v>6</v>
      </c>
    </row>
    <row r="32" spans="1:9" ht="15.75" customHeight="1">
      <c r="A32" s="10" t="str">
        <f t="shared" si="0"/>
        <v>Silvus (4400 E UHF Band, 10W Power, 1.25MHz Bandwidth )</v>
      </c>
      <c r="B32" s="10" t="s">
        <v>31</v>
      </c>
      <c r="C32" s="10" t="s">
        <v>26</v>
      </c>
      <c r="D32" s="10" t="s">
        <v>32</v>
      </c>
      <c r="E32" s="10" t="s">
        <v>28</v>
      </c>
      <c r="F32" s="11">
        <v>420</v>
      </c>
      <c r="G32" s="11">
        <v>10</v>
      </c>
      <c r="H32" s="11">
        <v>1.25</v>
      </c>
      <c r="I32" s="11">
        <v>6</v>
      </c>
    </row>
    <row r="33" spans="1:9" ht="15.75" customHeight="1">
      <c r="A33" s="10" t="str">
        <f t="shared" si="0"/>
        <v>Silvus (4400 E L Band, 1W Power, 20MHz Bandwidth )</v>
      </c>
      <c r="B33" s="10" t="s">
        <v>31</v>
      </c>
      <c r="C33" s="10" t="s">
        <v>26</v>
      </c>
      <c r="D33" s="10" t="s">
        <v>32</v>
      </c>
      <c r="E33" s="18" t="s">
        <v>14</v>
      </c>
      <c r="F33" s="11">
        <v>1350</v>
      </c>
      <c r="G33" s="11">
        <v>1</v>
      </c>
      <c r="H33" s="11">
        <v>20</v>
      </c>
      <c r="I33" s="11">
        <v>6</v>
      </c>
    </row>
    <row r="34" spans="1:9" ht="15.75" customHeight="1">
      <c r="A34" s="10" t="str">
        <f t="shared" si="0"/>
        <v>Silvus (4400 E S Band, 1W Power, 20MHz Bandwidth )</v>
      </c>
      <c r="B34" s="10" t="s">
        <v>31</v>
      </c>
      <c r="C34" s="10" t="s">
        <v>26</v>
      </c>
      <c r="D34" s="10" t="s">
        <v>32</v>
      </c>
      <c r="E34" s="10" t="s">
        <v>27</v>
      </c>
      <c r="F34" s="11">
        <v>2200</v>
      </c>
      <c r="G34" s="11">
        <v>1</v>
      </c>
      <c r="H34" s="11">
        <v>20</v>
      </c>
      <c r="I34" s="11">
        <v>6</v>
      </c>
    </row>
    <row r="35" spans="1:9" ht="15.75" customHeight="1">
      <c r="A35" s="10" t="str">
        <f t="shared" si="0"/>
        <v>Silvus (4400 E UHF Band, 1W Power, 20MHz Bandwidth )</v>
      </c>
      <c r="B35" s="10" t="s">
        <v>31</v>
      </c>
      <c r="C35" s="10" t="s">
        <v>26</v>
      </c>
      <c r="D35" s="10" t="s">
        <v>32</v>
      </c>
      <c r="E35" s="10" t="s">
        <v>28</v>
      </c>
      <c r="F35" s="11">
        <v>420</v>
      </c>
      <c r="G35" s="11">
        <v>1</v>
      </c>
      <c r="H35" s="11">
        <v>20</v>
      </c>
      <c r="I35" s="11">
        <v>6</v>
      </c>
    </row>
    <row r="36" spans="1:9" ht="15.75" customHeight="1">
      <c r="A36" s="10" t="str">
        <f t="shared" si="0"/>
        <v>Silvus (4400 E L Band, 4W Power, 20MHz Bandwidth )</v>
      </c>
      <c r="B36" s="10" t="s">
        <v>31</v>
      </c>
      <c r="C36" s="10" t="s">
        <v>26</v>
      </c>
      <c r="D36" s="10" t="s">
        <v>32</v>
      </c>
      <c r="E36" s="18" t="s">
        <v>14</v>
      </c>
      <c r="F36" s="11">
        <v>1350</v>
      </c>
      <c r="G36" s="11">
        <v>4</v>
      </c>
      <c r="H36" s="11">
        <v>20</v>
      </c>
      <c r="I36" s="11">
        <v>6</v>
      </c>
    </row>
    <row r="37" spans="1:9" ht="15.75" customHeight="1">
      <c r="A37" s="10" t="str">
        <f t="shared" si="0"/>
        <v>Silvus (4400 E S Band, 4W Power, 20MHz Bandwidth )</v>
      </c>
      <c r="B37" s="10" t="s">
        <v>31</v>
      </c>
      <c r="C37" s="10" t="s">
        <v>26</v>
      </c>
      <c r="D37" s="10" t="s">
        <v>32</v>
      </c>
      <c r="E37" s="10" t="s">
        <v>27</v>
      </c>
      <c r="F37" s="11">
        <v>2200</v>
      </c>
      <c r="G37" s="11">
        <v>4</v>
      </c>
      <c r="H37" s="11">
        <v>20</v>
      </c>
      <c r="I37" s="11">
        <v>6</v>
      </c>
    </row>
    <row r="38" spans="1:9" ht="15.75" customHeight="1">
      <c r="A38" s="10" t="str">
        <f t="shared" si="0"/>
        <v>Silvus (4400 E UHF Band, 4W Power, 20MHz Bandwidth )</v>
      </c>
      <c r="B38" s="10" t="s">
        <v>31</v>
      </c>
      <c r="C38" s="10" t="s">
        <v>26</v>
      </c>
      <c r="D38" s="10" t="s">
        <v>32</v>
      </c>
      <c r="E38" s="10" t="s">
        <v>28</v>
      </c>
      <c r="F38" s="11">
        <v>420</v>
      </c>
      <c r="G38" s="11">
        <v>4</v>
      </c>
      <c r="H38" s="11">
        <v>20</v>
      </c>
      <c r="I38" s="11">
        <v>6</v>
      </c>
    </row>
    <row r="39" spans="1:9" ht="15.75" customHeight="1">
      <c r="A39" s="10" t="str">
        <f t="shared" si="0"/>
        <v>Silvus (4400 E L Band, 10W Power, 20MHz Bandwidth )</v>
      </c>
      <c r="B39" s="10" t="s">
        <v>31</v>
      </c>
      <c r="C39" s="10" t="s">
        <v>26</v>
      </c>
      <c r="D39" s="10" t="s">
        <v>32</v>
      </c>
      <c r="E39" s="18" t="s">
        <v>14</v>
      </c>
      <c r="F39" s="11">
        <v>1350</v>
      </c>
      <c r="G39" s="11">
        <v>10</v>
      </c>
      <c r="H39" s="11">
        <v>20</v>
      </c>
      <c r="I39" s="11">
        <v>6</v>
      </c>
    </row>
    <row r="40" spans="1:9" ht="15.75" customHeight="1">
      <c r="A40" s="10" t="str">
        <f t="shared" si="0"/>
        <v>Silvus (4400 E S Band, 10W Power, 20MHz Bandwidth )</v>
      </c>
      <c r="B40" s="10" t="s">
        <v>31</v>
      </c>
      <c r="C40" s="10" t="s">
        <v>26</v>
      </c>
      <c r="D40" s="10" t="s">
        <v>32</v>
      </c>
      <c r="E40" s="10" t="s">
        <v>27</v>
      </c>
      <c r="F40" s="11">
        <v>2200</v>
      </c>
      <c r="G40" s="11">
        <v>10</v>
      </c>
      <c r="H40" s="11">
        <v>20</v>
      </c>
      <c r="I40" s="11">
        <v>6</v>
      </c>
    </row>
    <row r="41" spans="1:9" ht="15.75" customHeight="1">
      <c r="A41" s="10" t="str">
        <f t="shared" si="0"/>
        <v>Silvus (4400 E UHF Band, 10W Power, 20MHz Bandwidth )</v>
      </c>
      <c r="B41" s="10" t="s">
        <v>31</v>
      </c>
      <c r="C41" s="10" t="s">
        <v>26</v>
      </c>
      <c r="D41" s="10" t="s">
        <v>32</v>
      </c>
      <c r="E41" s="10" t="s">
        <v>28</v>
      </c>
      <c r="F41" s="11">
        <v>420</v>
      </c>
      <c r="G41" s="11">
        <v>10</v>
      </c>
      <c r="H41" s="11">
        <v>20</v>
      </c>
      <c r="I41" s="11">
        <v>6</v>
      </c>
    </row>
    <row r="42" spans="1:9" ht="15.75" customHeight="1">
      <c r="A42" s="10" t="str">
        <f t="shared" si="0"/>
        <v>KW (TS-890S HF Band, 5W Power, 1.6MHz Bandwidth )</v>
      </c>
      <c r="B42" s="10" t="s">
        <v>33</v>
      </c>
      <c r="C42" s="10" t="s">
        <v>34</v>
      </c>
      <c r="D42" s="10" t="s">
        <v>35</v>
      </c>
      <c r="E42" s="10" t="s">
        <v>36</v>
      </c>
      <c r="F42" s="11">
        <v>5.35</v>
      </c>
      <c r="G42" s="11">
        <v>5</v>
      </c>
      <c r="H42" s="19">
        <v>1.6</v>
      </c>
      <c r="I42" s="11">
        <v>0</v>
      </c>
    </row>
    <row r="43" spans="1:9" ht="15.75" customHeight="1">
      <c r="A43" s="10" t="str">
        <f t="shared" si="0"/>
        <v>KW (TS-890S HF Band, 100W Power, 1.6MHz Bandwidth )</v>
      </c>
      <c r="B43" s="10" t="s">
        <v>33</v>
      </c>
      <c r="C43" s="10" t="s">
        <v>34</v>
      </c>
      <c r="D43" s="10" t="s">
        <v>35</v>
      </c>
      <c r="E43" s="10" t="s">
        <v>36</v>
      </c>
      <c r="F43" s="11">
        <v>5.35</v>
      </c>
      <c r="G43" s="11">
        <v>100</v>
      </c>
      <c r="H43" s="19">
        <v>1.6</v>
      </c>
      <c r="I43" s="11">
        <v>0</v>
      </c>
    </row>
    <row r="44" spans="1:9" ht="15.75" customHeight="1"/>
    <row r="45" spans="1:9" ht="15.75" customHeight="1"/>
    <row r="46" spans="1:9" ht="15.75" customHeight="1"/>
    <row r="47" spans="1:9" ht="15.75" customHeight="1"/>
    <row r="48" spans="1:9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I949"/>
  <sheetViews>
    <sheetView workbookViewId="0">
      <selection activeCell="AQ3" sqref="AQ3"/>
    </sheetView>
  </sheetViews>
  <sheetFormatPr defaultColWidth="12.5703125" defaultRowHeight="15" customHeight="1"/>
  <cols>
    <col min="1" max="1" width="22.5703125" customWidth="1"/>
    <col min="2" max="2" width="52.85546875" customWidth="1"/>
    <col min="3" max="3" width="8.5703125" customWidth="1"/>
    <col min="4" max="4" width="40.85546875" customWidth="1"/>
    <col min="5" max="5" width="34.5703125" customWidth="1"/>
    <col min="6" max="12" width="8.5703125" customWidth="1"/>
    <col min="13" max="13" width="10.7109375" customWidth="1"/>
    <col min="14" max="46" width="8.5703125" customWidth="1"/>
    <col min="47" max="47" width="11.140625" customWidth="1"/>
    <col min="48" max="51" width="8.5703125" customWidth="1"/>
    <col min="52" max="52" width="9.5703125" customWidth="1"/>
    <col min="53" max="61" width="8.5703125" customWidth="1"/>
  </cols>
  <sheetData>
    <row r="1" spans="1:61" ht="14.45">
      <c r="A1" s="12" t="s">
        <v>37</v>
      </c>
      <c r="B1" s="12" t="s">
        <v>38</v>
      </c>
      <c r="C1" s="12" t="s">
        <v>39</v>
      </c>
      <c r="D1" s="12" t="s">
        <v>40</v>
      </c>
      <c r="E1" s="12" t="s">
        <v>41</v>
      </c>
      <c r="F1" s="12" t="s">
        <v>42</v>
      </c>
      <c r="G1" s="12" t="s">
        <v>43</v>
      </c>
      <c r="H1" s="12" t="s">
        <v>44</v>
      </c>
      <c r="I1" s="12" t="s">
        <v>45</v>
      </c>
      <c r="J1" s="12" t="s">
        <v>46</v>
      </c>
      <c r="K1" s="12" t="s">
        <v>47</v>
      </c>
      <c r="L1" s="12" t="s">
        <v>48</v>
      </c>
      <c r="M1" s="12" t="s">
        <v>49</v>
      </c>
      <c r="N1" s="13" t="s">
        <v>50</v>
      </c>
      <c r="O1" s="13" t="s">
        <v>51</v>
      </c>
      <c r="P1" s="12" t="s">
        <v>52</v>
      </c>
      <c r="Q1" s="12" t="s">
        <v>53</v>
      </c>
      <c r="R1" s="12" t="s">
        <v>54</v>
      </c>
      <c r="S1" s="12" t="s">
        <v>55</v>
      </c>
      <c r="T1" s="12" t="s">
        <v>56</v>
      </c>
      <c r="U1" s="12" t="s">
        <v>57</v>
      </c>
      <c r="V1" s="13" t="s">
        <v>58</v>
      </c>
      <c r="W1" s="13" t="s">
        <v>59</v>
      </c>
      <c r="X1" s="14" t="s">
        <v>60</v>
      </c>
      <c r="Y1" s="12" t="s">
        <v>61</v>
      </c>
      <c r="Z1" s="12" t="s">
        <v>62</v>
      </c>
      <c r="AA1" s="12" t="s">
        <v>63</v>
      </c>
      <c r="AB1" s="12" t="s">
        <v>64</v>
      </c>
      <c r="AC1" s="12" t="s">
        <v>65</v>
      </c>
      <c r="AD1" s="12" t="s">
        <v>66</v>
      </c>
      <c r="AE1" s="12" t="s">
        <v>67</v>
      </c>
      <c r="AF1" s="12" t="s">
        <v>68</v>
      </c>
      <c r="AG1" s="12" t="s">
        <v>69</v>
      </c>
      <c r="AH1" s="12" t="s">
        <v>70</v>
      </c>
      <c r="AI1" s="12" t="s">
        <v>71</v>
      </c>
      <c r="AJ1" s="12" t="s">
        <v>72</v>
      </c>
      <c r="AK1" s="12" t="s">
        <v>73</v>
      </c>
      <c r="AL1" s="12" t="s">
        <v>74</v>
      </c>
      <c r="AM1" s="12" t="s">
        <v>75</v>
      </c>
      <c r="AN1" s="12" t="s">
        <v>76</v>
      </c>
      <c r="AO1" s="12" t="s">
        <v>77</v>
      </c>
      <c r="AP1" s="12" t="s">
        <v>78</v>
      </c>
      <c r="AQ1" s="12" t="s">
        <v>79</v>
      </c>
      <c r="AR1" s="12" t="s">
        <v>80</v>
      </c>
      <c r="AS1" s="12" t="s">
        <v>81</v>
      </c>
      <c r="AT1" s="12" t="s">
        <v>82</v>
      </c>
      <c r="AU1" s="12" t="s">
        <v>83</v>
      </c>
      <c r="AV1" s="12" t="s">
        <v>84</v>
      </c>
      <c r="AW1" s="12" t="s">
        <v>85</v>
      </c>
      <c r="AX1" s="12" t="s">
        <v>86</v>
      </c>
      <c r="AY1" s="12" t="s">
        <v>87</v>
      </c>
      <c r="AZ1" s="12" t="s">
        <v>88</v>
      </c>
      <c r="BA1" s="12" t="s">
        <v>89</v>
      </c>
      <c r="BB1" s="12" t="s">
        <v>90</v>
      </c>
      <c r="BC1" s="12" t="s">
        <v>91</v>
      </c>
      <c r="BD1" s="12" t="s">
        <v>92</v>
      </c>
      <c r="BE1" s="12" t="s">
        <v>93</v>
      </c>
      <c r="BF1" s="12" t="s">
        <v>94</v>
      </c>
      <c r="BG1" s="12" t="s">
        <v>95</v>
      </c>
      <c r="BH1" s="12" t="s">
        <v>96</v>
      </c>
      <c r="BI1" s="12" t="s">
        <v>97</v>
      </c>
    </row>
    <row r="2" spans="1:61" ht="14.45">
      <c r="A2" s="15" t="s">
        <v>98</v>
      </c>
      <c r="B2" s="16" t="s">
        <v>99</v>
      </c>
      <c r="C2" s="15"/>
      <c r="D2" s="15" t="str">
        <f>Insert!A2</f>
        <v>Silvus (4200 E L Band, 1W Power, 1.25MHz Bandwidth )</v>
      </c>
      <c r="E2" s="15" t="s">
        <v>100</v>
      </c>
      <c r="F2" s="15" t="s">
        <v>101</v>
      </c>
      <c r="G2" s="15">
        <v>1</v>
      </c>
      <c r="H2" s="15">
        <v>0</v>
      </c>
      <c r="I2" s="15" t="str">
        <f>Insert!C2&amp;Insert!D2</f>
        <v>Silvus4200 E</v>
      </c>
      <c r="J2" s="15" t="s">
        <v>102</v>
      </c>
      <c r="K2" s="15">
        <v>2</v>
      </c>
      <c r="L2" s="15">
        <v>1</v>
      </c>
      <c r="M2" s="15"/>
      <c r="N2" s="17">
        <v>50.789859999999997</v>
      </c>
      <c r="O2" s="17">
        <v>-1.107861</v>
      </c>
      <c r="P2" s="15">
        <v>5</v>
      </c>
      <c r="Q2" s="15">
        <f>Insert!F2</f>
        <v>1350</v>
      </c>
      <c r="R2" s="15">
        <f>Insert!G2</f>
        <v>1</v>
      </c>
      <c r="S2" s="15">
        <v>1.5</v>
      </c>
      <c r="T2" s="15" t="s">
        <v>103</v>
      </c>
      <c r="U2" s="15"/>
      <c r="V2" s="17">
        <v>50.786114385379904</v>
      </c>
      <c r="W2" s="17">
        <v>-1.1432767173634899</v>
      </c>
      <c r="X2" s="15">
        <v>1</v>
      </c>
      <c r="Y2" s="15">
        <v>2</v>
      </c>
      <c r="Z2" s="15">
        <v>10</v>
      </c>
      <c r="AA2" s="15"/>
      <c r="AB2" s="15">
        <v>1</v>
      </c>
      <c r="AC2" s="15">
        <v>0</v>
      </c>
      <c r="AD2" s="15">
        <v>0</v>
      </c>
      <c r="AE2" s="15"/>
      <c r="AF2" s="15" t="s">
        <v>39</v>
      </c>
      <c r="AG2" s="15">
        <f>Insert!I2</f>
        <v>3</v>
      </c>
      <c r="AH2" s="15">
        <v>0</v>
      </c>
      <c r="AI2" s="15">
        <v>39</v>
      </c>
      <c r="AJ2" s="15">
        <v>0</v>
      </c>
      <c r="AK2" s="15">
        <v>0</v>
      </c>
      <c r="AL2" s="15">
        <v>12</v>
      </c>
      <c r="AM2" s="15">
        <v>12</v>
      </c>
      <c r="AN2" s="15">
        <v>2</v>
      </c>
      <c r="AO2" s="15" t="s">
        <v>104</v>
      </c>
      <c r="AP2" s="15"/>
      <c r="AQ2" s="15">
        <v>10</v>
      </c>
      <c r="AR2" s="15">
        <v>2</v>
      </c>
      <c r="AS2" s="15">
        <v>1</v>
      </c>
      <c r="AT2" s="15">
        <v>90</v>
      </c>
      <c r="AU2" s="15">
        <v>1</v>
      </c>
      <c r="AV2" s="15">
        <v>1</v>
      </c>
      <c r="AW2" s="15">
        <v>1</v>
      </c>
      <c r="AX2" s="15">
        <v>0</v>
      </c>
      <c r="AY2" s="15">
        <v>2</v>
      </c>
      <c r="AZ2" s="15" t="s">
        <v>105</v>
      </c>
      <c r="BA2" s="15"/>
      <c r="BB2" s="15" t="s">
        <v>106</v>
      </c>
      <c r="BC2" s="15" t="s">
        <v>107</v>
      </c>
      <c r="BD2" s="15">
        <v>2</v>
      </c>
      <c r="BE2" s="15">
        <v>1</v>
      </c>
      <c r="BF2" s="15">
        <v>0</v>
      </c>
      <c r="BG2" s="15">
        <v>-110</v>
      </c>
      <c r="BH2" s="15">
        <v>5</v>
      </c>
      <c r="BI2" s="15">
        <v>2</v>
      </c>
    </row>
    <row r="3" spans="1:61" ht="14.45">
      <c r="A3" s="15" t="s">
        <v>98</v>
      </c>
      <c r="B3" s="16" t="s">
        <v>99</v>
      </c>
      <c r="C3" s="15"/>
      <c r="D3" s="15" t="str">
        <f>Insert!A3</f>
        <v>Silvus (4200 E S Band, 1W Power, 1.25MHz Bandwidth )</v>
      </c>
      <c r="E3" s="15" t="s">
        <v>100</v>
      </c>
      <c r="F3" s="15" t="s">
        <v>108</v>
      </c>
      <c r="G3" s="15">
        <v>1</v>
      </c>
      <c r="H3" s="15">
        <v>0</v>
      </c>
      <c r="I3" s="15" t="str">
        <f>Insert!C3&amp;Insert!D3</f>
        <v>Silvus4200 E</v>
      </c>
      <c r="J3" s="15" t="s">
        <v>102</v>
      </c>
      <c r="K3" s="15">
        <v>2</v>
      </c>
      <c r="L3" s="15">
        <v>1</v>
      </c>
      <c r="M3" s="15"/>
      <c r="N3" s="17">
        <v>50.789859999999997</v>
      </c>
      <c r="O3" s="17">
        <v>-1.107861</v>
      </c>
      <c r="P3" s="15">
        <v>5</v>
      </c>
      <c r="Q3" s="15">
        <f>Insert!F3</f>
        <v>2200</v>
      </c>
      <c r="R3" s="15">
        <f>Insert!G3</f>
        <v>1</v>
      </c>
      <c r="S3" s="15">
        <v>1.5</v>
      </c>
      <c r="T3" s="15" t="s">
        <v>103</v>
      </c>
      <c r="U3" s="15"/>
      <c r="V3" s="17">
        <v>50.786114385379904</v>
      </c>
      <c r="W3" s="17">
        <v>-1.1432767173634899</v>
      </c>
      <c r="X3" s="15">
        <v>1</v>
      </c>
      <c r="Y3" s="15">
        <v>2</v>
      </c>
      <c r="Z3" s="15">
        <v>10</v>
      </c>
      <c r="AA3" s="15"/>
      <c r="AB3" s="15">
        <v>1</v>
      </c>
      <c r="AC3" s="15">
        <v>0</v>
      </c>
      <c r="AD3" s="15">
        <v>0</v>
      </c>
      <c r="AE3" s="15"/>
      <c r="AF3" s="15" t="s">
        <v>39</v>
      </c>
      <c r="AG3" s="15">
        <f>Insert!I3</f>
        <v>3</v>
      </c>
      <c r="AH3" s="15">
        <v>0</v>
      </c>
      <c r="AI3" s="15">
        <v>39</v>
      </c>
      <c r="AJ3" s="15">
        <v>0</v>
      </c>
      <c r="AK3" s="15">
        <v>0</v>
      </c>
      <c r="AL3" s="15">
        <v>12</v>
      </c>
      <c r="AM3" s="15">
        <v>12</v>
      </c>
      <c r="AN3" s="15">
        <v>2</v>
      </c>
      <c r="AO3" s="15" t="s">
        <v>104</v>
      </c>
      <c r="AP3" s="15"/>
      <c r="AQ3" s="15">
        <v>11</v>
      </c>
      <c r="AR3" s="15">
        <v>2</v>
      </c>
      <c r="AS3" s="15">
        <v>1</v>
      </c>
      <c r="AT3" s="15">
        <v>90</v>
      </c>
      <c r="AU3" s="15">
        <v>1</v>
      </c>
      <c r="AV3" s="15">
        <v>1</v>
      </c>
      <c r="AW3" s="15">
        <v>1</v>
      </c>
      <c r="AX3" s="15">
        <v>0</v>
      </c>
      <c r="AY3" s="15">
        <v>2</v>
      </c>
      <c r="AZ3" s="15" t="s">
        <v>105</v>
      </c>
      <c r="BA3" s="15"/>
      <c r="BB3" s="15" t="s">
        <v>106</v>
      </c>
      <c r="BC3" s="15" t="s">
        <v>107</v>
      </c>
      <c r="BD3" s="15">
        <v>2</v>
      </c>
      <c r="BE3" s="15">
        <v>1</v>
      </c>
      <c r="BF3" s="15">
        <v>0</v>
      </c>
      <c r="BG3" s="15">
        <v>-110</v>
      </c>
      <c r="BH3" s="15">
        <v>5</v>
      </c>
      <c r="BI3" s="15">
        <v>2</v>
      </c>
    </row>
    <row r="4" spans="1:61" ht="14.45">
      <c r="A4" s="15" t="s">
        <v>98</v>
      </c>
      <c r="B4" s="16" t="s">
        <v>99</v>
      </c>
      <c r="C4" s="15"/>
      <c r="D4" s="15" t="str">
        <f>Insert!A4</f>
        <v>Silvus (4200 E UHF Band, 1W Power, 1.25MHz Bandwidth )</v>
      </c>
      <c r="E4" s="15" t="s">
        <v>100</v>
      </c>
      <c r="F4" s="15" t="s">
        <v>109</v>
      </c>
      <c r="G4" s="15">
        <v>1</v>
      </c>
      <c r="H4" s="15">
        <v>0</v>
      </c>
      <c r="I4" s="15" t="str">
        <f>Insert!C4&amp;Insert!D4</f>
        <v>Silvus4200 E</v>
      </c>
      <c r="J4" s="15" t="s">
        <v>102</v>
      </c>
      <c r="K4" s="15">
        <v>2</v>
      </c>
      <c r="L4" s="15">
        <v>1</v>
      </c>
      <c r="M4" s="15"/>
      <c r="N4" s="17">
        <v>50.789859999999997</v>
      </c>
      <c r="O4" s="17">
        <v>-1.107861</v>
      </c>
      <c r="P4" s="15">
        <v>5</v>
      </c>
      <c r="Q4" s="15">
        <f>Insert!F4</f>
        <v>420</v>
      </c>
      <c r="R4" s="15">
        <f>Insert!G4</f>
        <v>1</v>
      </c>
      <c r="S4" s="15">
        <v>1.5</v>
      </c>
      <c r="T4" s="15" t="s">
        <v>103</v>
      </c>
      <c r="U4" s="15"/>
      <c r="V4" s="17">
        <v>50.786114385379904</v>
      </c>
      <c r="W4" s="17">
        <v>-1.1432767173634899</v>
      </c>
      <c r="X4" s="15">
        <v>1</v>
      </c>
      <c r="Y4" s="15">
        <v>2</v>
      </c>
      <c r="Z4" s="15">
        <v>10</v>
      </c>
      <c r="AA4" s="15"/>
      <c r="AB4" s="15">
        <v>1</v>
      </c>
      <c r="AC4" s="15">
        <v>0</v>
      </c>
      <c r="AD4" s="15">
        <v>0</v>
      </c>
      <c r="AE4" s="15"/>
      <c r="AF4" s="15" t="s">
        <v>39</v>
      </c>
      <c r="AG4" s="15">
        <f>Insert!I4</f>
        <v>3</v>
      </c>
      <c r="AH4" s="15">
        <v>0</v>
      </c>
      <c r="AI4" s="15">
        <v>39</v>
      </c>
      <c r="AJ4" s="15">
        <v>0</v>
      </c>
      <c r="AK4" s="15">
        <v>0</v>
      </c>
      <c r="AL4" s="15">
        <v>12</v>
      </c>
      <c r="AM4" s="15">
        <v>12</v>
      </c>
      <c r="AN4" s="15">
        <v>2</v>
      </c>
      <c r="AO4" s="15" t="s">
        <v>104</v>
      </c>
      <c r="AP4" s="15"/>
      <c r="AQ4" s="15">
        <v>11</v>
      </c>
      <c r="AR4" s="15">
        <v>2</v>
      </c>
      <c r="AS4" s="15">
        <v>1</v>
      </c>
      <c r="AT4" s="15">
        <v>90</v>
      </c>
      <c r="AU4" s="15">
        <v>1</v>
      </c>
      <c r="AV4" s="15">
        <v>1</v>
      </c>
      <c r="AW4" s="15">
        <v>1</v>
      </c>
      <c r="AX4" s="15">
        <v>0</v>
      </c>
      <c r="AY4" s="15">
        <v>2</v>
      </c>
      <c r="AZ4" s="15" t="s">
        <v>105</v>
      </c>
      <c r="BA4" s="15"/>
      <c r="BB4" s="15" t="s">
        <v>106</v>
      </c>
      <c r="BC4" s="15" t="s">
        <v>107</v>
      </c>
      <c r="BD4" s="15">
        <v>2</v>
      </c>
      <c r="BE4" s="15">
        <v>1</v>
      </c>
      <c r="BF4" s="15">
        <v>0</v>
      </c>
      <c r="BG4" s="15">
        <v>-110</v>
      </c>
      <c r="BH4" s="15">
        <v>5</v>
      </c>
      <c r="BI4" s="15">
        <v>2</v>
      </c>
    </row>
    <row r="5" spans="1:61" ht="14.45">
      <c r="A5" s="15" t="s">
        <v>98</v>
      </c>
      <c r="B5" s="16" t="s">
        <v>99</v>
      </c>
      <c r="C5" s="15"/>
      <c r="D5" s="15" t="str">
        <f>Insert!A5</f>
        <v>Silvus (4200 E L Band, 4W Power, 1.25MHz Bandwidth )</v>
      </c>
      <c r="E5" s="15" t="s">
        <v>100</v>
      </c>
      <c r="F5" s="15" t="s">
        <v>110</v>
      </c>
      <c r="G5" s="15">
        <v>1</v>
      </c>
      <c r="H5" s="15">
        <v>0</v>
      </c>
      <c r="I5" s="15" t="str">
        <f>Insert!C5&amp;Insert!D5</f>
        <v>Silvus4200 E</v>
      </c>
      <c r="J5" s="15" t="s">
        <v>102</v>
      </c>
      <c r="K5" s="15">
        <v>2</v>
      </c>
      <c r="L5" s="15">
        <v>1</v>
      </c>
      <c r="M5" s="15"/>
      <c r="N5" s="17">
        <v>50.789859999999997</v>
      </c>
      <c r="O5" s="17">
        <v>-1.107861</v>
      </c>
      <c r="P5" s="15">
        <v>5</v>
      </c>
      <c r="Q5" s="15">
        <f>Insert!F5</f>
        <v>1350</v>
      </c>
      <c r="R5" s="15">
        <f>Insert!G5</f>
        <v>4</v>
      </c>
      <c r="S5" s="15">
        <v>1.5</v>
      </c>
      <c r="T5" s="15" t="s">
        <v>103</v>
      </c>
      <c r="U5" s="15"/>
      <c r="V5" s="17">
        <v>50.786114385379904</v>
      </c>
      <c r="W5" s="17">
        <v>-1.1432767173634899</v>
      </c>
      <c r="X5" s="15">
        <v>1</v>
      </c>
      <c r="Y5" s="15">
        <v>2</v>
      </c>
      <c r="Z5" s="15">
        <v>10</v>
      </c>
      <c r="AA5" s="15"/>
      <c r="AB5" s="15">
        <v>1</v>
      </c>
      <c r="AC5" s="15">
        <v>0</v>
      </c>
      <c r="AD5" s="15">
        <v>0</v>
      </c>
      <c r="AE5" s="15"/>
      <c r="AF5" s="15" t="s">
        <v>39</v>
      </c>
      <c r="AG5" s="15">
        <f>Insert!I5</f>
        <v>3</v>
      </c>
      <c r="AH5" s="15">
        <v>0</v>
      </c>
      <c r="AI5" s="15">
        <v>39</v>
      </c>
      <c r="AJ5" s="15">
        <v>0</v>
      </c>
      <c r="AK5" s="15">
        <v>0</v>
      </c>
      <c r="AL5" s="15">
        <v>12</v>
      </c>
      <c r="AM5" s="15">
        <v>12</v>
      </c>
      <c r="AN5" s="15">
        <v>2</v>
      </c>
      <c r="AO5" s="15" t="s">
        <v>104</v>
      </c>
      <c r="AP5" s="15"/>
      <c r="AQ5" s="15">
        <v>11</v>
      </c>
      <c r="AR5" s="15">
        <v>2</v>
      </c>
      <c r="AS5" s="15">
        <v>1</v>
      </c>
      <c r="AT5" s="15">
        <v>90</v>
      </c>
      <c r="AU5" s="15">
        <v>1</v>
      </c>
      <c r="AV5" s="15">
        <v>1</v>
      </c>
      <c r="AW5" s="15">
        <v>1</v>
      </c>
      <c r="AX5" s="15">
        <v>0</v>
      </c>
      <c r="AY5" s="15">
        <v>2</v>
      </c>
      <c r="AZ5" s="15" t="s">
        <v>105</v>
      </c>
      <c r="BA5" s="15"/>
      <c r="BB5" s="15" t="s">
        <v>106</v>
      </c>
      <c r="BC5" s="15" t="s">
        <v>107</v>
      </c>
      <c r="BD5" s="15">
        <v>2</v>
      </c>
      <c r="BE5" s="15">
        <v>1</v>
      </c>
      <c r="BF5" s="15">
        <v>0</v>
      </c>
      <c r="BG5" s="15">
        <v>-110</v>
      </c>
      <c r="BH5" s="15">
        <v>5</v>
      </c>
      <c r="BI5" s="15">
        <v>2</v>
      </c>
    </row>
    <row r="6" spans="1:61" ht="14.45">
      <c r="A6" s="15" t="s">
        <v>98</v>
      </c>
      <c r="B6" s="16" t="s">
        <v>99</v>
      </c>
      <c r="C6" s="15"/>
      <c r="D6" s="15" t="str">
        <f>Insert!A6</f>
        <v>Silvus (4200 E S Band, 4W Power, 1.25MHz Bandwidth )</v>
      </c>
      <c r="E6" s="15" t="s">
        <v>100</v>
      </c>
      <c r="F6" s="15" t="s">
        <v>111</v>
      </c>
      <c r="G6" s="15">
        <v>1</v>
      </c>
      <c r="H6" s="15">
        <v>0</v>
      </c>
      <c r="I6" s="15" t="str">
        <f>Insert!C6&amp;Insert!D6</f>
        <v>Silvus4200 E</v>
      </c>
      <c r="J6" s="15" t="s">
        <v>102</v>
      </c>
      <c r="K6" s="15">
        <v>2</v>
      </c>
      <c r="L6" s="15">
        <v>1</v>
      </c>
      <c r="M6" s="15"/>
      <c r="N6" s="17">
        <v>50.789859999999997</v>
      </c>
      <c r="O6" s="17">
        <v>-1.107861</v>
      </c>
      <c r="P6" s="15">
        <v>5</v>
      </c>
      <c r="Q6" s="15">
        <f>Insert!F6</f>
        <v>2200</v>
      </c>
      <c r="R6" s="15">
        <f>Insert!G6</f>
        <v>4</v>
      </c>
      <c r="S6" s="15">
        <v>1.5</v>
      </c>
      <c r="T6" s="15" t="s">
        <v>103</v>
      </c>
      <c r="U6" s="15"/>
      <c r="V6" s="17">
        <v>50.786114385379904</v>
      </c>
      <c r="W6" s="17">
        <v>-1.1432767173634899</v>
      </c>
      <c r="X6" s="15">
        <v>1</v>
      </c>
      <c r="Y6" s="15">
        <v>2</v>
      </c>
      <c r="Z6" s="15">
        <v>10</v>
      </c>
      <c r="AA6" s="15"/>
      <c r="AB6" s="15">
        <v>1</v>
      </c>
      <c r="AC6" s="15">
        <v>0</v>
      </c>
      <c r="AD6" s="15">
        <v>0</v>
      </c>
      <c r="AE6" s="15"/>
      <c r="AF6" s="15" t="s">
        <v>39</v>
      </c>
      <c r="AG6" s="15">
        <f>Insert!I6</f>
        <v>3</v>
      </c>
      <c r="AH6" s="15">
        <v>0</v>
      </c>
      <c r="AI6" s="15">
        <v>39</v>
      </c>
      <c r="AJ6" s="15">
        <v>0</v>
      </c>
      <c r="AK6" s="15">
        <v>0</v>
      </c>
      <c r="AL6" s="15">
        <v>12</v>
      </c>
      <c r="AM6" s="15">
        <v>12</v>
      </c>
      <c r="AN6" s="15">
        <v>2</v>
      </c>
      <c r="AO6" s="15" t="s">
        <v>104</v>
      </c>
      <c r="AP6" s="15"/>
      <c r="AQ6" s="15">
        <v>11</v>
      </c>
      <c r="AR6" s="15">
        <v>2</v>
      </c>
      <c r="AS6" s="15">
        <v>1</v>
      </c>
      <c r="AT6" s="15">
        <v>90</v>
      </c>
      <c r="AU6" s="15">
        <v>1</v>
      </c>
      <c r="AV6" s="15">
        <v>1</v>
      </c>
      <c r="AW6" s="15">
        <v>1</v>
      </c>
      <c r="AX6" s="15">
        <v>0</v>
      </c>
      <c r="AY6" s="15">
        <v>2</v>
      </c>
      <c r="AZ6" s="15" t="s">
        <v>105</v>
      </c>
      <c r="BA6" s="15"/>
      <c r="BB6" s="15" t="s">
        <v>106</v>
      </c>
      <c r="BC6" s="15" t="s">
        <v>107</v>
      </c>
      <c r="BD6" s="15">
        <v>2</v>
      </c>
      <c r="BE6" s="15">
        <v>1</v>
      </c>
      <c r="BF6" s="15">
        <v>0</v>
      </c>
      <c r="BG6" s="15">
        <v>-110</v>
      </c>
      <c r="BH6" s="15">
        <v>5</v>
      </c>
      <c r="BI6" s="15">
        <v>2</v>
      </c>
    </row>
    <row r="7" spans="1:61" ht="14.45">
      <c r="A7" s="15" t="s">
        <v>98</v>
      </c>
      <c r="B7" s="16" t="s">
        <v>99</v>
      </c>
      <c r="C7" s="15"/>
      <c r="D7" s="15" t="str">
        <f>Insert!A7</f>
        <v>Silvus (4200 E UHF Band, 4W Power, 1.25MHz Bandwidth )</v>
      </c>
      <c r="E7" s="15" t="s">
        <v>100</v>
      </c>
      <c r="F7" s="15" t="s">
        <v>112</v>
      </c>
      <c r="G7" s="15">
        <v>1</v>
      </c>
      <c r="H7" s="15">
        <v>0</v>
      </c>
      <c r="I7" s="15" t="str">
        <f>Insert!C7&amp;Insert!D7</f>
        <v>Silvus4200 E</v>
      </c>
      <c r="J7" s="15" t="s">
        <v>102</v>
      </c>
      <c r="K7" s="15">
        <v>2</v>
      </c>
      <c r="L7" s="15">
        <v>1</v>
      </c>
      <c r="M7" s="15"/>
      <c r="N7" s="17">
        <v>50.789859999999997</v>
      </c>
      <c r="O7" s="17">
        <v>-1.107861</v>
      </c>
      <c r="P7" s="15">
        <v>5</v>
      </c>
      <c r="Q7" s="15">
        <f>Insert!F7</f>
        <v>420</v>
      </c>
      <c r="R7" s="15">
        <f>Insert!G7</f>
        <v>4</v>
      </c>
      <c r="S7" s="15">
        <v>1.5</v>
      </c>
      <c r="T7" s="15" t="s">
        <v>103</v>
      </c>
      <c r="U7" s="15"/>
      <c r="V7" s="17">
        <v>50.786114385379904</v>
      </c>
      <c r="W7" s="17">
        <v>-1.1432767173634899</v>
      </c>
      <c r="X7" s="15">
        <v>1</v>
      </c>
      <c r="Y7" s="15">
        <v>2</v>
      </c>
      <c r="Z7" s="15">
        <v>10</v>
      </c>
      <c r="AA7" s="15"/>
      <c r="AB7" s="15">
        <v>1</v>
      </c>
      <c r="AC7" s="15">
        <v>0</v>
      </c>
      <c r="AD7" s="15">
        <v>0</v>
      </c>
      <c r="AE7" s="15"/>
      <c r="AF7" s="15" t="s">
        <v>39</v>
      </c>
      <c r="AG7" s="15">
        <f>Insert!I7</f>
        <v>3</v>
      </c>
      <c r="AH7" s="15">
        <v>0</v>
      </c>
      <c r="AI7" s="15">
        <v>39</v>
      </c>
      <c r="AJ7" s="15">
        <v>0</v>
      </c>
      <c r="AK7" s="15">
        <v>0</v>
      </c>
      <c r="AL7" s="15">
        <v>12</v>
      </c>
      <c r="AM7" s="15">
        <v>12</v>
      </c>
      <c r="AN7" s="15">
        <v>2</v>
      </c>
      <c r="AO7" s="15" t="s">
        <v>104</v>
      </c>
      <c r="AP7" s="15"/>
      <c r="AQ7" s="15">
        <v>11</v>
      </c>
      <c r="AR7" s="15">
        <v>2</v>
      </c>
      <c r="AS7" s="15">
        <v>1</v>
      </c>
      <c r="AT7" s="15">
        <v>90</v>
      </c>
      <c r="AU7" s="15">
        <v>1</v>
      </c>
      <c r="AV7" s="15">
        <v>1</v>
      </c>
      <c r="AW7" s="15">
        <v>1</v>
      </c>
      <c r="AX7" s="15">
        <v>0</v>
      </c>
      <c r="AY7" s="15">
        <v>2</v>
      </c>
      <c r="AZ7" s="15" t="s">
        <v>105</v>
      </c>
      <c r="BA7" s="15"/>
      <c r="BB7" s="15" t="s">
        <v>106</v>
      </c>
      <c r="BC7" s="15" t="s">
        <v>107</v>
      </c>
      <c r="BD7" s="15">
        <v>2</v>
      </c>
      <c r="BE7" s="15">
        <v>1</v>
      </c>
      <c r="BF7" s="15">
        <v>0</v>
      </c>
      <c r="BG7" s="15">
        <v>-110</v>
      </c>
      <c r="BH7" s="15">
        <v>5</v>
      </c>
      <c r="BI7" s="15">
        <v>2</v>
      </c>
    </row>
    <row r="8" spans="1:61" ht="14.45">
      <c r="A8" s="15" t="s">
        <v>98</v>
      </c>
      <c r="B8" s="16" t="s">
        <v>99</v>
      </c>
      <c r="C8" s="15"/>
      <c r="D8" s="15" t="str">
        <f>Insert!A8</f>
        <v>Silvus (4200 E L Band, 10W Power, 1.25MHz Bandwidth )</v>
      </c>
      <c r="E8" s="15" t="s">
        <v>100</v>
      </c>
      <c r="F8" s="15" t="s">
        <v>113</v>
      </c>
      <c r="G8" s="15">
        <v>1</v>
      </c>
      <c r="H8" s="15">
        <v>0</v>
      </c>
      <c r="I8" s="15" t="str">
        <f>Insert!C8&amp;Insert!D8</f>
        <v>Silvus4200 E</v>
      </c>
      <c r="J8" s="15" t="s">
        <v>102</v>
      </c>
      <c r="K8" s="15">
        <v>2</v>
      </c>
      <c r="L8" s="15">
        <v>1</v>
      </c>
      <c r="M8" s="15"/>
      <c r="N8" s="17">
        <v>50.789859999999997</v>
      </c>
      <c r="O8" s="17">
        <v>-1.107861</v>
      </c>
      <c r="P8" s="15">
        <v>5</v>
      </c>
      <c r="Q8" s="15">
        <f>Insert!F8</f>
        <v>1350</v>
      </c>
      <c r="R8" s="15">
        <f>Insert!G8</f>
        <v>10</v>
      </c>
      <c r="S8" s="15">
        <v>1.5</v>
      </c>
      <c r="T8" s="15" t="s">
        <v>103</v>
      </c>
      <c r="U8" s="15"/>
      <c r="V8" s="17">
        <v>50.786114385379904</v>
      </c>
      <c r="W8" s="17">
        <v>-1.1432767173634899</v>
      </c>
      <c r="X8" s="15">
        <v>1</v>
      </c>
      <c r="Y8" s="15">
        <v>2</v>
      </c>
      <c r="Z8" s="15">
        <v>10</v>
      </c>
      <c r="AA8" s="15"/>
      <c r="AB8" s="15">
        <v>1</v>
      </c>
      <c r="AC8" s="15">
        <v>0</v>
      </c>
      <c r="AD8" s="15">
        <v>0</v>
      </c>
      <c r="AE8" s="15"/>
      <c r="AF8" s="15" t="s">
        <v>39</v>
      </c>
      <c r="AG8" s="15">
        <f>Insert!I8</f>
        <v>3</v>
      </c>
      <c r="AH8" s="15">
        <v>0</v>
      </c>
      <c r="AI8" s="15">
        <v>39</v>
      </c>
      <c r="AJ8" s="15">
        <v>0</v>
      </c>
      <c r="AK8" s="15">
        <v>0</v>
      </c>
      <c r="AL8" s="15">
        <v>12</v>
      </c>
      <c r="AM8" s="15">
        <v>12</v>
      </c>
      <c r="AN8" s="15">
        <v>2</v>
      </c>
      <c r="AO8" s="15" t="s">
        <v>104</v>
      </c>
      <c r="AP8" s="15"/>
      <c r="AQ8" s="15">
        <v>11</v>
      </c>
      <c r="AR8" s="15">
        <v>2</v>
      </c>
      <c r="AS8" s="15">
        <v>1</v>
      </c>
      <c r="AT8" s="15">
        <v>90</v>
      </c>
      <c r="AU8" s="15">
        <v>1</v>
      </c>
      <c r="AV8" s="15">
        <v>1</v>
      </c>
      <c r="AW8" s="15">
        <v>1</v>
      </c>
      <c r="AX8" s="15">
        <v>0</v>
      </c>
      <c r="AY8" s="15">
        <v>2</v>
      </c>
      <c r="AZ8" s="15" t="s">
        <v>105</v>
      </c>
      <c r="BA8" s="15"/>
      <c r="BB8" s="15" t="s">
        <v>106</v>
      </c>
      <c r="BC8" s="15" t="s">
        <v>107</v>
      </c>
      <c r="BD8" s="15">
        <v>2</v>
      </c>
      <c r="BE8" s="15">
        <v>1</v>
      </c>
      <c r="BF8" s="15">
        <v>0</v>
      </c>
      <c r="BG8" s="15">
        <v>-110</v>
      </c>
      <c r="BH8" s="15">
        <v>5</v>
      </c>
      <c r="BI8" s="15">
        <v>2</v>
      </c>
    </row>
    <row r="9" spans="1:61" ht="14.45">
      <c r="A9" s="15" t="s">
        <v>98</v>
      </c>
      <c r="B9" s="16" t="s">
        <v>99</v>
      </c>
      <c r="C9" s="15"/>
      <c r="D9" s="15" t="str">
        <f>Insert!A9</f>
        <v>Silvus (4200 E S Band, 10W Power, 1.25MHz Bandwidth )</v>
      </c>
      <c r="E9" s="15" t="s">
        <v>100</v>
      </c>
      <c r="F9" s="15" t="s">
        <v>114</v>
      </c>
      <c r="G9" s="15">
        <v>1</v>
      </c>
      <c r="H9" s="15">
        <v>0</v>
      </c>
      <c r="I9" s="15" t="str">
        <f>Insert!C9&amp;Insert!D9</f>
        <v>Silvus4200 E</v>
      </c>
      <c r="J9" s="15" t="s">
        <v>102</v>
      </c>
      <c r="K9" s="15">
        <v>2</v>
      </c>
      <c r="L9" s="15">
        <v>1</v>
      </c>
      <c r="M9" s="15"/>
      <c r="N9" s="17">
        <v>50.789859999999997</v>
      </c>
      <c r="O9" s="17">
        <v>-1.107861</v>
      </c>
      <c r="P9" s="15">
        <v>5</v>
      </c>
      <c r="Q9" s="15">
        <f>Insert!F9</f>
        <v>2200</v>
      </c>
      <c r="R9" s="15">
        <f>Insert!G9</f>
        <v>10</v>
      </c>
      <c r="S9" s="15">
        <v>1.5</v>
      </c>
      <c r="T9" s="15" t="s">
        <v>103</v>
      </c>
      <c r="U9" s="15"/>
      <c r="V9" s="17">
        <v>50.786114385379904</v>
      </c>
      <c r="W9" s="17">
        <v>-1.1432767173634899</v>
      </c>
      <c r="X9" s="15">
        <v>1</v>
      </c>
      <c r="Y9" s="15">
        <v>2</v>
      </c>
      <c r="Z9" s="15">
        <v>10</v>
      </c>
      <c r="AA9" s="15"/>
      <c r="AB9" s="15">
        <v>1</v>
      </c>
      <c r="AC9" s="15">
        <v>0</v>
      </c>
      <c r="AD9" s="15">
        <v>0</v>
      </c>
      <c r="AE9" s="15"/>
      <c r="AF9" s="15" t="s">
        <v>39</v>
      </c>
      <c r="AG9" s="15">
        <f>Insert!I9</f>
        <v>3</v>
      </c>
      <c r="AH9" s="15">
        <v>0</v>
      </c>
      <c r="AI9" s="15">
        <v>39</v>
      </c>
      <c r="AJ9" s="15">
        <v>0</v>
      </c>
      <c r="AK9" s="15">
        <v>0</v>
      </c>
      <c r="AL9" s="15">
        <v>12</v>
      </c>
      <c r="AM9" s="15">
        <v>12</v>
      </c>
      <c r="AN9" s="15">
        <v>2</v>
      </c>
      <c r="AO9" s="15" t="s">
        <v>104</v>
      </c>
      <c r="AP9" s="15"/>
      <c r="AQ9" s="15">
        <v>11</v>
      </c>
      <c r="AR9" s="15">
        <v>2</v>
      </c>
      <c r="AS9" s="15">
        <v>1</v>
      </c>
      <c r="AT9" s="15">
        <v>90</v>
      </c>
      <c r="AU9" s="15">
        <v>1</v>
      </c>
      <c r="AV9" s="15">
        <v>1</v>
      </c>
      <c r="AW9" s="15">
        <v>1</v>
      </c>
      <c r="AX9" s="15">
        <v>0</v>
      </c>
      <c r="AY9" s="15">
        <v>2</v>
      </c>
      <c r="AZ9" s="15" t="s">
        <v>105</v>
      </c>
      <c r="BA9" s="15"/>
      <c r="BB9" s="15" t="s">
        <v>106</v>
      </c>
      <c r="BC9" s="15" t="s">
        <v>107</v>
      </c>
      <c r="BD9" s="15">
        <v>2</v>
      </c>
      <c r="BE9" s="15">
        <v>1</v>
      </c>
      <c r="BF9" s="15">
        <v>0</v>
      </c>
      <c r="BG9" s="15">
        <v>-110</v>
      </c>
      <c r="BH9" s="15">
        <v>5</v>
      </c>
      <c r="BI9" s="15">
        <v>2</v>
      </c>
    </row>
    <row r="10" spans="1:61" ht="14.45">
      <c r="A10" s="15" t="s">
        <v>98</v>
      </c>
      <c r="B10" s="16" t="s">
        <v>99</v>
      </c>
      <c r="C10" s="15"/>
      <c r="D10" s="15" t="str">
        <f>Insert!A10</f>
        <v>Silvus (4200 E UHF Band, 10W Power, 1.25MHz Bandwidth )</v>
      </c>
      <c r="E10" s="15" t="s">
        <v>100</v>
      </c>
      <c r="F10" s="15" t="s">
        <v>115</v>
      </c>
      <c r="G10" s="15">
        <v>1</v>
      </c>
      <c r="H10" s="15">
        <v>0</v>
      </c>
      <c r="I10" s="15" t="str">
        <f>Insert!C10&amp;Insert!D10</f>
        <v>Silvus4200 E</v>
      </c>
      <c r="J10" s="15" t="s">
        <v>102</v>
      </c>
      <c r="K10" s="15">
        <v>2</v>
      </c>
      <c r="L10" s="15">
        <v>1</v>
      </c>
      <c r="M10" s="15"/>
      <c r="N10" s="17">
        <v>50.789859999999997</v>
      </c>
      <c r="O10" s="17">
        <v>-1.107861</v>
      </c>
      <c r="P10" s="15">
        <v>5</v>
      </c>
      <c r="Q10" s="15">
        <f>Insert!F10</f>
        <v>420</v>
      </c>
      <c r="R10" s="15">
        <f>Insert!G10</f>
        <v>10</v>
      </c>
      <c r="S10" s="15">
        <v>1.5</v>
      </c>
      <c r="T10" s="15" t="s">
        <v>103</v>
      </c>
      <c r="U10" s="15"/>
      <c r="V10" s="17">
        <v>50.786114385379904</v>
      </c>
      <c r="W10" s="17">
        <v>-1.1432767173634899</v>
      </c>
      <c r="X10" s="15">
        <v>1</v>
      </c>
      <c r="Y10" s="15">
        <v>2</v>
      </c>
      <c r="Z10" s="15">
        <v>10</v>
      </c>
      <c r="AA10" s="15"/>
      <c r="AB10" s="15">
        <v>1</v>
      </c>
      <c r="AC10" s="15">
        <v>0</v>
      </c>
      <c r="AD10" s="15">
        <v>0</v>
      </c>
      <c r="AE10" s="15"/>
      <c r="AF10" s="15" t="s">
        <v>39</v>
      </c>
      <c r="AG10" s="15">
        <f>Insert!I10</f>
        <v>3</v>
      </c>
      <c r="AH10" s="15">
        <v>0</v>
      </c>
      <c r="AI10" s="15">
        <v>39</v>
      </c>
      <c r="AJ10" s="15">
        <v>0</v>
      </c>
      <c r="AK10" s="15">
        <v>0</v>
      </c>
      <c r="AL10" s="15">
        <v>12</v>
      </c>
      <c r="AM10" s="15">
        <v>12</v>
      </c>
      <c r="AN10" s="15">
        <v>2</v>
      </c>
      <c r="AO10" s="15" t="s">
        <v>104</v>
      </c>
      <c r="AP10" s="15"/>
      <c r="AQ10" s="15">
        <v>11</v>
      </c>
      <c r="AR10" s="15">
        <v>2</v>
      </c>
      <c r="AS10" s="15">
        <v>1</v>
      </c>
      <c r="AT10" s="15">
        <v>90</v>
      </c>
      <c r="AU10" s="15">
        <v>1</v>
      </c>
      <c r="AV10" s="15">
        <v>1</v>
      </c>
      <c r="AW10" s="15">
        <v>1</v>
      </c>
      <c r="AX10" s="15">
        <v>0</v>
      </c>
      <c r="AY10" s="15">
        <v>2</v>
      </c>
      <c r="AZ10" s="15" t="s">
        <v>105</v>
      </c>
      <c r="BA10" s="15"/>
      <c r="BB10" s="15" t="s">
        <v>106</v>
      </c>
      <c r="BC10" s="15" t="s">
        <v>107</v>
      </c>
      <c r="BD10" s="15">
        <v>2</v>
      </c>
      <c r="BE10" s="15">
        <v>1</v>
      </c>
      <c r="BF10" s="15">
        <v>0</v>
      </c>
      <c r="BG10" s="15">
        <v>-110</v>
      </c>
      <c r="BH10" s="15">
        <v>5</v>
      </c>
      <c r="BI10" s="15">
        <v>2</v>
      </c>
    </row>
    <row r="11" spans="1:61" ht="14.45">
      <c r="A11" s="15" t="s">
        <v>98</v>
      </c>
      <c r="B11" s="16" t="s">
        <v>99</v>
      </c>
      <c r="C11" s="15"/>
      <c r="D11" s="15" t="str">
        <f>Insert!A11</f>
        <v>Silvus (4200 E L Band, 1W Power, 20MHz Bandwidth )</v>
      </c>
      <c r="E11" s="15" t="s">
        <v>100</v>
      </c>
      <c r="F11" s="15" t="s">
        <v>116</v>
      </c>
      <c r="G11" s="15">
        <v>1</v>
      </c>
      <c r="H11" s="15">
        <v>0</v>
      </c>
      <c r="I11" s="15" t="str">
        <f>Insert!C11&amp;Insert!D11</f>
        <v>Silvus4200 E</v>
      </c>
      <c r="J11" s="15" t="s">
        <v>102</v>
      </c>
      <c r="K11" s="15">
        <v>2</v>
      </c>
      <c r="L11" s="15">
        <v>1</v>
      </c>
      <c r="M11" s="15"/>
      <c r="N11" s="17">
        <v>50.789859999999997</v>
      </c>
      <c r="O11" s="17">
        <v>-1.107861</v>
      </c>
      <c r="P11" s="15">
        <v>5</v>
      </c>
      <c r="Q11" s="15">
        <f>Insert!F11</f>
        <v>1350</v>
      </c>
      <c r="R11" s="15">
        <f>Insert!G11</f>
        <v>1</v>
      </c>
      <c r="S11" s="15">
        <v>1.5</v>
      </c>
      <c r="T11" s="15" t="s">
        <v>103</v>
      </c>
      <c r="U11" s="15"/>
      <c r="V11" s="17">
        <v>50.786114385379904</v>
      </c>
      <c r="W11" s="17">
        <v>-1.1432767173634899</v>
      </c>
      <c r="X11" s="15">
        <v>1</v>
      </c>
      <c r="Y11" s="15">
        <v>2</v>
      </c>
      <c r="Z11" s="15">
        <v>10</v>
      </c>
      <c r="AA11" s="15"/>
      <c r="AB11" s="15">
        <v>1</v>
      </c>
      <c r="AC11" s="15">
        <v>0</v>
      </c>
      <c r="AD11" s="15">
        <v>0</v>
      </c>
      <c r="AE11" s="15"/>
      <c r="AF11" s="15" t="s">
        <v>39</v>
      </c>
      <c r="AG11" s="15">
        <f>Insert!I11</f>
        <v>3</v>
      </c>
      <c r="AH11" s="15">
        <v>0</v>
      </c>
      <c r="AI11" s="15">
        <v>39</v>
      </c>
      <c r="AJ11" s="15">
        <v>0</v>
      </c>
      <c r="AK11" s="15">
        <v>0</v>
      </c>
      <c r="AL11" s="15">
        <v>12</v>
      </c>
      <c r="AM11" s="15">
        <v>12</v>
      </c>
      <c r="AN11" s="15">
        <v>2</v>
      </c>
      <c r="AO11" s="15" t="s">
        <v>104</v>
      </c>
      <c r="AP11" s="15"/>
      <c r="AQ11" s="15">
        <v>11</v>
      </c>
      <c r="AR11" s="15">
        <v>2</v>
      </c>
      <c r="AS11" s="15">
        <v>1</v>
      </c>
      <c r="AT11" s="15">
        <v>90</v>
      </c>
      <c r="AU11" s="15">
        <v>1</v>
      </c>
      <c r="AV11" s="15">
        <v>1</v>
      </c>
      <c r="AW11" s="15">
        <v>1</v>
      </c>
      <c r="AX11" s="15">
        <v>0</v>
      </c>
      <c r="AY11" s="15">
        <v>2</v>
      </c>
      <c r="AZ11" s="15" t="s">
        <v>105</v>
      </c>
      <c r="BA11" s="15"/>
      <c r="BB11" s="15" t="s">
        <v>106</v>
      </c>
      <c r="BC11" s="15" t="s">
        <v>107</v>
      </c>
      <c r="BD11" s="15">
        <v>2</v>
      </c>
      <c r="BE11" s="15">
        <v>1</v>
      </c>
      <c r="BF11" s="15">
        <v>0</v>
      </c>
      <c r="BG11" s="15">
        <v>-110</v>
      </c>
      <c r="BH11" s="15">
        <v>5</v>
      </c>
      <c r="BI11" s="15">
        <v>2</v>
      </c>
    </row>
    <row r="12" spans="1:61" ht="14.45">
      <c r="A12" s="15" t="s">
        <v>98</v>
      </c>
      <c r="B12" s="16" t="s">
        <v>99</v>
      </c>
      <c r="C12" s="15"/>
      <c r="D12" s="15" t="str">
        <f>Insert!A12</f>
        <v>Silvus (4200 E S Band, 1W Power, 20MHz Bandwidth )</v>
      </c>
      <c r="E12" s="15" t="s">
        <v>100</v>
      </c>
      <c r="F12" s="15" t="s">
        <v>117</v>
      </c>
      <c r="G12" s="15">
        <v>1</v>
      </c>
      <c r="H12" s="15">
        <v>0</v>
      </c>
      <c r="I12" s="15" t="str">
        <f>Insert!C12&amp;Insert!D12</f>
        <v>Silvus4200 E</v>
      </c>
      <c r="J12" s="15" t="s">
        <v>102</v>
      </c>
      <c r="K12" s="15">
        <v>2</v>
      </c>
      <c r="L12" s="15">
        <v>1</v>
      </c>
      <c r="M12" s="15"/>
      <c r="N12" s="17">
        <v>50.789859999999997</v>
      </c>
      <c r="O12" s="17">
        <v>-1.107861</v>
      </c>
      <c r="P12" s="15">
        <v>5</v>
      </c>
      <c r="Q12" s="15">
        <f>Insert!F12</f>
        <v>2200</v>
      </c>
      <c r="R12" s="15">
        <f>Insert!G12</f>
        <v>1</v>
      </c>
      <c r="S12" s="15">
        <v>1.5</v>
      </c>
      <c r="T12" s="15" t="s">
        <v>103</v>
      </c>
      <c r="U12" s="15"/>
      <c r="V12" s="17">
        <v>50.786114385379904</v>
      </c>
      <c r="W12" s="17">
        <v>-1.1432767173634899</v>
      </c>
      <c r="X12" s="15">
        <v>1</v>
      </c>
      <c r="Y12" s="15">
        <v>2</v>
      </c>
      <c r="Z12" s="15">
        <v>10</v>
      </c>
      <c r="AA12" s="15"/>
      <c r="AB12" s="15">
        <v>1</v>
      </c>
      <c r="AC12" s="15">
        <v>0</v>
      </c>
      <c r="AD12" s="15">
        <v>0</v>
      </c>
      <c r="AE12" s="15"/>
      <c r="AF12" s="15" t="s">
        <v>39</v>
      </c>
      <c r="AG12" s="15">
        <f>Insert!I12</f>
        <v>3</v>
      </c>
      <c r="AH12" s="15">
        <v>0</v>
      </c>
      <c r="AI12" s="15">
        <v>39</v>
      </c>
      <c r="AJ12" s="15">
        <v>0</v>
      </c>
      <c r="AK12" s="15">
        <v>0</v>
      </c>
      <c r="AL12" s="15">
        <v>12</v>
      </c>
      <c r="AM12" s="15">
        <v>12</v>
      </c>
      <c r="AN12" s="15">
        <v>2</v>
      </c>
      <c r="AO12" s="15" t="s">
        <v>104</v>
      </c>
      <c r="AP12" s="15"/>
      <c r="AQ12" s="15">
        <v>11</v>
      </c>
      <c r="AR12" s="15">
        <v>2</v>
      </c>
      <c r="AS12" s="15">
        <v>1</v>
      </c>
      <c r="AT12" s="15">
        <v>90</v>
      </c>
      <c r="AU12" s="15">
        <v>1</v>
      </c>
      <c r="AV12" s="15">
        <v>1</v>
      </c>
      <c r="AW12" s="15">
        <v>1</v>
      </c>
      <c r="AX12" s="15">
        <v>0</v>
      </c>
      <c r="AY12" s="15">
        <v>2</v>
      </c>
      <c r="AZ12" s="15" t="s">
        <v>105</v>
      </c>
      <c r="BA12" s="15"/>
      <c r="BB12" s="15" t="s">
        <v>106</v>
      </c>
      <c r="BC12" s="15" t="s">
        <v>107</v>
      </c>
      <c r="BD12" s="15">
        <v>2</v>
      </c>
      <c r="BE12" s="15">
        <v>1</v>
      </c>
      <c r="BF12" s="15">
        <v>0</v>
      </c>
      <c r="BG12" s="15">
        <v>-110</v>
      </c>
      <c r="BH12" s="15">
        <v>5</v>
      </c>
      <c r="BI12" s="15">
        <v>2</v>
      </c>
    </row>
    <row r="13" spans="1:61" ht="14.45">
      <c r="A13" s="15" t="s">
        <v>98</v>
      </c>
      <c r="B13" s="16" t="s">
        <v>99</v>
      </c>
      <c r="C13" s="15"/>
      <c r="D13" s="15" t="str">
        <f>Insert!A13</f>
        <v>Silvus (4200 E UHF Band, 1W Power, 20MHz Bandwidth )</v>
      </c>
      <c r="E13" s="15" t="s">
        <v>100</v>
      </c>
      <c r="F13" s="15" t="s">
        <v>118</v>
      </c>
      <c r="G13" s="15">
        <v>1</v>
      </c>
      <c r="H13" s="15">
        <v>0</v>
      </c>
      <c r="I13" s="15" t="str">
        <f>Insert!C13&amp;Insert!D13</f>
        <v>Silvus4200 E</v>
      </c>
      <c r="J13" s="15" t="s">
        <v>102</v>
      </c>
      <c r="K13" s="15">
        <v>2</v>
      </c>
      <c r="L13" s="15">
        <v>1</v>
      </c>
      <c r="M13" s="15"/>
      <c r="N13" s="17">
        <v>50.789859999999997</v>
      </c>
      <c r="O13" s="17">
        <v>-1.107861</v>
      </c>
      <c r="P13" s="15">
        <v>5</v>
      </c>
      <c r="Q13" s="15">
        <f>Insert!F13</f>
        <v>420</v>
      </c>
      <c r="R13" s="15">
        <f>Insert!G13</f>
        <v>1</v>
      </c>
      <c r="S13" s="15">
        <v>1.5</v>
      </c>
      <c r="T13" s="15" t="s">
        <v>103</v>
      </c>
      <c r="U13" s="15"/>
      <c r="V13" s="17">
        <v>50.786114385379904</v>
      </c>
      <c r="W13" s="17">
        <v>-1.1432767173634899</v>
      </c>
      <c r="X13" s="15">
        <v>1</v>
      </c>
      <c r="Y13" s="15">
        <v>2</v>
      </c>
      <c r="Z13" s="15">
        <v>10</v>
      </c>
      <c r="AA13" s="15"/>
      <c r="AB13" s="15">
        <v>1</v>
      </c>
      <c r="AC13" s="15">
        <v>0</v>
      </c>
      <c r="AD13" s="15">
        <v>0</v>
      </c>
      <c r="AE13" s="15"/>
      <c r="AF13" s="15" t="s">
        <v>39</v>
      </c>
      <c r="AG13" s="15">
        <f>Insert!I13</f>
        <v>3</v>
      </c>
      <c r="AH13" s="15">
        <v>0</v>
      </c>
      <c r="AI13" s="15">
        <v>39</v>
      </c>
      <c r="AJ13" s="15">
        <v>0</v>
      </c>
      <c r="AK13" s="15">
        <v>0</v>
      </c>
      <c r="AL13" s="15">
        <v>12</v>
      </c>
      <c r="AM13" s="15">
        <v>12</v>
      </c>
      <c r="AN13" s="15">
        <v>2</v>
      </c>
      <c r="AO13" s="15" t="s">
        <v>104</v>
      </c>
      <c r="AP13" s="15"/>
      <c r="AQ13" s="15">
        <v>11</v>
      </c>
      <c r="AR13" s="15">
        <v>2</v>
      </c>
      <c r="AS13" s="15">
        <v>1</v>
      </c>
      <c r="AT13" s="15">
        <v>90</v>
      </c>
      <c r="AU13" s="15">
        <v>1</v>
      </c>
      <c r="AV13" s="15">
        <v>1</v>
      </c>
      <c r="AW13" s="15">
        <v>1</v>
      </c>
      <c r="AX13" s="15">
        <v>0</v>
      </c>
      <c r="AY13" s="15">
        <v>2</v>
      </c>
      <c r="AZ13" s="15" t="s">
        <v>105</v>
      </c>
      <c r="BA13" s="15"/>
      <c r="BB13" s="15" t="s">
        <v>106</v>
      </c>
      <c r="BC13" s="15" t="s">
        <v>107</v>
      </c>
      <c r="BD13" s="15">
        <v>2</v>
      </c>
      <c r="BE13" s="15">
        <v>1</v>
      </c>
      <c r="BF13" s="15">
        <v>0</v>
      </c>
      <c r="BG13" s="15">
        <v>-110</v>
      </c>
      <c r="BH13" s="15">
        <v>5</v>
      </c>
      <c r="BI13" s="15">
        <v>2</v>
      </c>
    </row>
    <row r="14" spans="1:61" ht="14.45">
      <c r="A14" s="15" t="s">
        <v>98</v>
      </c>
      <c r="B14" s="16" t="s">
        <v>99</v>
      </c>
      <c r="C14" s="15"/>
      <c r="D14" s="15" t="str">
        <f>Insert!A14</f>
        <v>Silvus (4200 E L Band, 4W Power, 20MHz Bandwidth )</v>
      </c>
      <c r="E14" s="15" t="s">
        <v>100</v>
      </c>
      <c r="F14" s="15" t="s">
        <v>119</v>
      </c>
      <c r="G14" s="15">
        <v>1</v>
      </c>
      <c r="H14" s="15">
        <v>0</v>
      </c>
      <c r="I14" s="15" t="str">
        <f>Insert!C14&amp;Insert!D14</f>
        <v>Silvus4200 E</v>
      </c>
      <c r="J14" s="15" t="s">
        <v>102</v>
      </c>
      <c r="K14" s="15">
        <v>2</v>
      </c>
      <c r="L14" s="15">
        <v>1</v>
      </c>
      <c r="M14" s="15"/>
      <c r="N14" s="17">
        <v>50.789859999999997</v>
      </c>
      <c r="O14" s="17">
        <v>-1.107861</v>
      </c>
      <c r="P14" s="15">
        <v>5</v>
      </c>
      <c r="Q14" s="15">
        <f>Insert!F14</f>
        <v>1350</v>
      </c>
      <c r="R14" s="15">
        <f>Insert!G14</f>
        <v>4</v>
      </c>
      <c r="S14" s="15">
        <v>1.5</v>
      </c>
      <c r="T14" s="15" t="s">
        <v>103</v>
      </c>
      <c r="U14" s="15"/>
      <c r="V14" s="17">
        <v>50.786114385379904</v>
      </c>
      <c r="W14" s="17">
        <v>-1.1432767173634899</v>
      </c>
      <c r="X14" s="15">
        <v>1</v>
      </c>
      <c r="Y14" s="15">
        <v>2</v>
      </c>
      <c r="Z14" s="15">
        <v>10</v>
      </c>
      <c r="AA14" s="15"/>
      <c r="AB14" s="15">
        <v>1</v>
      </c>
      <c r="AC14" s="15">
        <v>0</v>
      </c>
      <c r="AD14" s="15">
        <v>0</v>
      </c>
      <c r="AE14" s="15"/>
      <c r="AF14" s="15" t="s">
        <v>39</v>
      </c>
      <c r="AG14" s="15">
        <f>Insert!I14</f>
        <v>3</v>
      </c>
      <c r="AH14" s="15">
        <v>0</v>
      </c>
      <c r="AI14" s="15">
        <v>39</v>
      </c>
      <c r="AJ14" s="15">
        <v>0</v>
      </c>
      <c r="AK14" s="15">
        <v>0</v>
      </c>
      <c r="AL14" s="15">
        <v>12</v>
      </c>
      <c r="AM14" s="15">
        <v>12</v>
      </c>
      <c r="AN14" s="15">
        <v>2</v>
      </c>
      <c r="AO14" s="15" t="s">
        <v>104</v>
      </c>
      <c r="AP14" s="15"/>
      <c r="AQ14" s="15">
        <v>11</v>
      </c>
      <c r="AR14" s="15">
        <v>2</v>
      </c>
      <c r="AS14" s="15">
        <v>1</v>
      </c>
      <c r="AT14" s="15">
        <v>90</v>
      </c>
      <c r="AU14" s="15">
        <v>1</v>
      </c>
      <c r="AV14" s="15">
        <v>1</v>
      </c>
      <c r="AW14" s="15">
        <v>1</v>
      </c>
      <c r="AX14" s="15">
        <v>0</v>
      </c>
      <c r="AY14" s="15">
        <v>2</v>
      </c>
      <c r="AZ14" s="15" t="s">
        <v>105</v>
      </c>
      <c r="BA14" s="15"/>
      <c r="BB14" s="15" t="s">
        <v>106</v>
      </c>
      <c r="BC14" s="15" t="s">
        <v>107</v>
      </c>
      <c r="BD14" s="15">
        <v>2</v>
      </c>
      <c r="BE14" s="15">
        <v>1</v>
      </c>
      <c r="BF14" s="15">
        <v>0</v>
      </c>
      <c r="BG14" s="15">
        <v>-110</v>
      </c>
      <c r="BH14" s="15">
        <v>5</v>
      </c>
      <c r="BI14" s="15">
        <v>2</v>
      </c>
    </row>
    <row r="15" spans="1:61" ht="14.45">
      <c r="A15" s="15" t="s">
        <v>98</v>
      </c>
      <c r="B15" s="16" t="s">
        <v>99</v>
      </c>
      <c r="C15" s="15"/>
      <c r="D15" s="15" t="str">
        <f>Insert!A15</f>
        <v>Silvus (4200 E S Band, 4W Power, 20MHz Bandwidth )</v>
      </c>
      <c r="E15" s="15" t="s">
        <v>100</v>
      </c>
      <c r="F15" s="15" t="s">
        <v>120</v>
      </c>
      <c r="G15" s="15">
        <v>1</v>
      </c>
      <c r="H15" s="15">
        <v>0</v>
      </c>
      <c r="I15" s="15" t="str">
        <f>Insert!C15&amp;Insert!D15</f>
        <v>Silvus4200 E</v>
      </c>
      <c r="J15" s="15" t="s">
        <v>102</v>
      </c>
      <c r="K15" s="15">
        <v>2</v>
      </c>
      <c r="L15" s="15">
        <v>1</v>
      </c>
      <c r="M15" s="15"/>
      <c r="N15" s="17">
        <v>50.789859999999997</v>
      </c>
      <c r="O15" s="17">
        <v>-1.107861</v>
      </c>
      <c r="P15" s="15">
        <v>5</v>
      </c>
      <c r="Q15" s="15">
        <f>Insert!F15</f>
        <v>2200</v>
      </c>
      <c r="R15" s="15">
        <f>Insert!G15</f>
        <v>4</v>
      </c>
      <c r="S15" s="15">
        <v>1.5</v>
      </c>
      <c r="T15" s="15" t="s">
        <v>103</v>
      </c>
      <c r="U15" s="15"/>
      <c r="V15" s="17">
        <v>50.786114385379904</v>
      </c>
      <c r="W15" s="17">
        <v>-1.1432767173634899</v>
      </c>
      <c r="X15" s="15">
        <v>1</v>
      </c>
      <c r="Y15" s="15">
        <v>2</v>
      </c>
      <c r="Z15" s="15">
        <v>10</v>
      </c>
      <c r="AA15" s="15"/>
      <c r="AB15" s="15">
        <v>1</v>
      </c>
      <c r="AC15" s="15">
        <v>0</v>
      </c>
      <c r="AD15" s="15">
        <v>0</v>
      </c>
      <c r="AE15" s="15"/>
      <c r="AF15" s="15" t="s">
        <v>39</v>
      </c>
      <c r="AG15" s="15">
        <f>Insert!I15</f>
        <v>3</v>
      </c>
      <c r="AH15" s="15">
        <v>0</v>
      </c>
      <c r="AI15" s="15">
        <v>39</v>
      </c>
      <c r="AJ15" s="15">
        <v>0</v>
      </c>
      <c r="AK15" s="15">
        <v>0</v>
      </c>
      <c r="AL15" s="15">
        <v>12</v>
      </c>
      <c r="AM15" s="15">
        <v>12</v>
      </c>
      <c r="AN15" s="15">
        <v>2</v>
      </c>
      <c r="AO15" s="15" t="s">
        <v>104</v>
      </c>
      <c r="AP15" s="15"/>
      <c r="AQ15" s="15">
        <v>11</v>
      </c>
      <c r="AR15" s="15">
        <v>2</v>
      </c>
      <c r="AS15" s="15">
        <v>1</v>
      </c>
      <c r="AT15" s="15">
        <v>90</v>
      </c>
      <c r="AU15" s="15">
        <v>1</v>
      </c>
      <c r="AV15" s="15">
        <v>1</v>
      </c>
      <c r="AW15" s="15">
        <v>1</v>
      </c>
      <c r="AX15" s="15">
        <v>0</v>
      </c>
      <c r="AY15" s="15">
        <v>2</v>
      </c>
      <c r="AZ15" s="15" t="s">
        <v>105</v>
      </c>
      <c r="BA15" s="15"/>
      <c r="BB15" s="15" t="s">
        <v>106</v>
      </c>
      <c r="BC15" s="15" t="s">
        <v>107</v>
      </c>
      <c r="BD15" s="15">
        <v>2</v>
      </c>
      <c r="BE15" s="15">
        <v>1</v>
      </c>
      <c r="BF15" s="15">
        <v>0</v>
      </c>
      <c r="BG15" s="15">
        <v>-110</v>
      </c>
      <c r="BH15" s="15">
        <v>5</v>
      </c>
      <c r="BI15" s="15">
        <v>2</v>
      </c>
    </row>
    <row r="16" spans="1:61" ht="14.45">
      <c r="A16" s="15" t="s">
        <v>98</v>
      </c>
      <c r="B16" s="16" t="s">
        <v>99</v>
      </c>
      <c r="C16" s="15"/>
      <c r="D16" s="15" t="str">
        <f>Insert!A16</f>
        <v>Silvus (4200 E UHF Band, 4W Power, 20MHz Bandwidth )</v>
      </c>
      <c r="E16" s="15" t="s">
        <v>100</v>
      </c>
      <c r="F16" s="15" t="s">
        <v>121</v>
      </c>
      <c r="G16" s="15">
        <v>1</v>
      </c>
      <c r="H16" s="15">
        <v>0</v>
      </c>
      <c r="I16" s="15" t="str">
        <f>Insert!C16&amp;Insert!D16</f>
        <v>Silvus4200 E</v>
      </c>
      <c r="J16" s="15" t="s">
        <v>102</v>
      </c>
      <c r="K16" s="15">
        <v>2</v>
      </c>
      <c r="L16" s="15">
        <v>1</v>
      </c>
      <c r="M16" s="15"/>
      <c r="N16" s="17">
        <v>50.789859999999997</v>
      </c>
      <c r="O16" s="17">
        <v>-1.107861</v>
      </c>
      <c r="P16" s="15">
        <v>5</v>
      </c>
      <c r="Q16" s="15">
        <f>Insert!F16</f>
        <v>420</v>
      </c>
      <c r="R16" s="15">
        <f>Insert!G16</f>
        <v>4</v>
      </c>
      <c r="S16" s="15">
        <v>1.5</v>
      </c>
      <c r="T16" s="15" t="s">
        <v>103</v>
      </c>
      <c r="U16" s="15"/>
      <c r="V16" s="17">
        <v>50.786114385379904</v>
      </c>
      <c r="W16" s="17">
        <v>-1.1432767173634899</v>
      </c>
      <c r="X16" s="15">
        <v>1</v>
      </c>
      <c r="Y16" s="15">
        <v>2</v>
      </c>
      <c r="Z16" s="15">
        <v>10</v>
      </c>
      <c r="AA16" s="15"/>
      <c r="AB16" s="15">
        <v>1</v>
      </c>
      <c r="AC16" s="15">
        <v>0</v>
      </c>
      <c r="AD16" s="15">
        <v>0</v>
      </c>
      <c r="AE16" s="15"/>
      <c r="AF16" s="15" t="s">
        <v>39</v>
      </c>
      <c r="AG16" s="15">
        <f>Insert!I16</f>
        <v>3</v>
      </c>
      <c r="AH16" s="15">
        <v>0</v>
      </c>
      <c r="AI16" s="15">
        <v>39</v>
      </c>
      <c r="AJ16" s="15">
        <v>0</v>
      </c>
      <c r="AK16" s="15">
        <v>0</v>
      </c>
      <c r="AL16" s="15">
        <v>12</v>
      </c>
      <c r="AM16" s="15">
        <v>12</v>
      </c>
      <c r="AN16" s="15">
        <v>2</v>
      </c>
      <c r="AO16" s="15" t="s">
        <v>104</v>
      </c>
      <c r="AP16" s="15"/>
      <c r="AQ16" s="15">
        <v>11</v>
      </c>
      <c r="AR16" s="15">
        <v>2</v>
      </c>
      <c r="AS16" s="15">
        <v>1</v>
      </c>
      <c r="AT16" s="15">
        <v>90</v>
      </c>
      <c r="AU16" s="15">
        <v>1</v>
      </c>
      <c r="AV16" s="15">
        <v>1</v>
      </c>
      <c r="AW16" s="15">
        <v>1</v>
      </c>
      <c r="AX16" s="15">
        <v>0</v>
      </c>
      <c r="AY16" s="15">
        <v>2</v>
      </c>
      <c r="AZ16" s="15" t="s">
        <v>105</v>
      </c>
      <c r="BA16" s="15"/>
      <c r="BB16" s="15" t="s">
        <v>106</v>
      </c>
      <c r="BC16" s="15" t="s">
        <v>107</v>
      </c>
      <c r="BD16" s="15">
        <v>2</v>
      </c>
      <c r="BE16" s="15">
        <v>1</v>
      </c>
      <c r="BF16" s="15">
        <v>0</v>
      </c>
      <c r="BG16" s="15">
        <v>-110</v>
      </c>
      <c r="BH16" s="15">
        <v>5</v>
      </c>
      <c r="BI16" s="15">
        <v>2</v>
      </c>
    </row>
    <row r="17" spans="1:61" ht="14.45">
      <c r="A17" s="15" t="s">
        <v>98</v>
      </c>
      <c r="B17" s="16" t="s">
        <v>99</v>
      </c>
      <c r="C17" s="15"/>
      <c r="D17" s="15" t="str">
        <f>Insert!A17</f>
        <v>Silvus (4200 E L Band, 10W Power, 20MHz Bandwidth )</v>
      </c>
      <c r="E17" s="15" t="s">
        <v>100</v>
      </c>
      <c r="F17" s="15" t="s">
        <v>122</v>
      </c>
      <c r="G17" s="15">
        <v>1</v>
      </c>
      <c r="H17" s="15">
        <v>0</v>
      </c>
      <c r="I17" s="15" t="str">
        <f>Insert!C17&amp;Insert!D17</f>
        <v>Silvus4200 E</v>
      </c>
      <c r="J17" s="15" t="s">
        <v>102</v>
      </c>
      <c r="K17" s="15">
        <v>2</v>
      </c>
      <c r="L17" s="15">
        <v>1</v>
      </c>
      <c r="M17" s="15"/>
      <c r="N17" s="17">
        <v>50.789859999999997</v>
      </c>
      <c r="O17" s="17">
        <v>-1.107861</v>
      </c>
      <c r="P17" s="15">
        <v>5</v>
      </c>
      <c r="Q17" s="15">
        <f>Insert!F17</f>
        <v>1350</v>
      </c>
      <c r="R17" s="15">
        <f>Insert!G17</f>
        <v>10</v>
      </c>
      <c r="S17" s="15">
        <v>1.5</v>
      </c>
      <c r="T17" s="15" t="s">
        <v>103</v>
      </c>
      <c r="U17" s="15"/>
      <c r="V17" s="17">
        <v>50.786114385379904</v>
      </c>
      <c r="W17" s="17">
        <v>-1.1432767173634899</v>
      </c>
      <c r="X17" s="15">
        <v>1</v>
      </c>
      <c r="Y17" s="15">
        <v>2</v>
      </c>
      <c r="Z17" s="15">
        <v>10</v>
      </c>
      <c r="AA17" s="15"/>
      <c r="AB17" s="15">
        <v>1</v>
      </c>
      <c r="AC17" s="15">
        <v>0</v>
      </c>
      <c r="AD17" s="15">
        <v>0</v>
      </c>
      <c r="AE17" s="15"/>
      <c r="AF17" s="15" t="s">
        <v>39</v>
      </c>
      <c r="AG17" s="15">
        <f>Insert!I17</f>
        <v>3</v>
      </c>
      <c r="AH17" s="15">
        <v>0</v>
      </c>
      <c r="AI17" s="15">
        <v>39</v>
      </c>
      <c r="AJ17" s="15">
        <v>0</v>
      </c>
      <c r="AK17" s="15">
        <v>0</v>
      </c>
      <c r="AL17" s="15">
        <v>12</v>
      </c>
      <c r="AM17" s="15">
        <v>12</v>
      </c>
      <c r="AN17" s="15">
        <v>2</v>
      </c>
      <c r="AO17" s="15" t="s">
        <v>104</v>
      </c>
      <c r="AP17" s="15"/>
      <c r="AQ17" s="15">
        <v>11</v>
      </c>
      <c r="AR17" s="15">
        <v>2</v>
      </c>
      <c r="AS17" s="15">
        <v>1</v>
      </c>
      <c r="AT17" s="15">
        <v>90</v>
      </c>
      <c r="AU17" s="15">
        <v>1</v>
      </c>
      <c r="AV17" s="15">
        <v>1</v>
      </c>
      <c r="AW17" s="15">
        <v>1</v>
      </c>
      <c r="AX17" s="15">
        <v>0</v>
      </c>
      <c r="AY17" s="15">
        <v>2</v>
      </c>
      <c r="AZ17" s="15" t="s">
        <v>105</v>
      </c>
      <c r="BA17" s="15"/>
      <c r="BB17" s="15" t="s">
        <v>106</v>
      </c>
      <c r="BC17" s="15" t="s">
        <v>107</v>
      </c>
      <c r="BD17" s="15">
        <v>2</v>
      </c>
      <c r="BE17" s="15">
        <v>1</v>
      </c>
      <c r="BF17" s="15">
        <v>0</v>
      </c>
      <c r="BG17" s="15">
        <v>-110</v>
      </c>
      <c r="BH17" s="15">
        <v>5</v>
      </c>
      <c r="BI17" s="15">
        <v>2</v>
      </c>
    </row>
    <row r="18" spans="1:61" ht="14.45">
      <c r="A18" s="15" t="s">
        <v>98</v>
      </c>
      <c r="B18" s="16" t="s">
        <v>99</v>
      </c>
      <c r="C18" s="15"/>
      <c r="D18" s="15" t="str">
        <f>Insert!A18</f>
        <v>Silvus (4200 E S Band, 10W Power, 20MHz Bandwidth )</v>
      </c>
      <c r="E18" s="15" t="s">
        <v>100</v>
      </c>
      <c r="F18" s="15" t="s">
        <v>123</v>
      </c>
      <c r="G18" s="15">
        <v>1</v>
      </c>
      <c r="H18" s="15">
        <v>0</v>
      </c>
      <c r="I18" s="15" t="str">
        <f>Insert!C18&amp;Insert!D18</f>
        <v>Silvus4200 E</v>
      </c>
      <c r="J18" s="15" t="s">
        <v>102</v>
      </c>
      <c r="K18" s="15">
        <v>2</v>
      </c>
      <c r="L18" s="15">
        <v>1</v>
      </c>
      <c r="M18" s="15"/>
      <c r="N18" s="17">
        <v>50.789859999999997</v>
      </c>
      <c r="O18" s="17">
        <v>-1.107861</v>
      </c>
      <c r="P18" s="15">
        <v>5</v>
      </c>
      <c r="Q18" s="15">
        <f>Insert!F18</f>
        <v>2200</v>
      </c>
      <c r="R18" s="15">
        <f>Insert!G18</f>
        <v>10</v>
      </c>
      <c r="S18" s="15">
        <v>1.5</v>
      </c>
      <c r="T18" s="15" t="s">
        <v>103</v>
      </c>
      <c r="U18" s="15"/>
      <c r="V18" s="17">
        <v>50.786114385379904</v>
      </c>
      <c r="W18" s="17">
        <v>-1.1432767173634899</v>
      </c>
      <c r="X18" s="15">
        <v>1</v>
      </c>
      <c r="Y18" s="15">
        <v>2</v>
      </c>
      <c r="Z18" s="15">
        <v>10</v>
      </c>
      <c r="AA18" s="15"/>
      <c r="AB18" s="15">
        <v>1</v>
      </c>
      <c r="AC18" s="15">
        <v>0</v>
      </c>
      <c r="AD18" s="15">
        <v>0</v>
      </c>
      <c r="AE18" s="15"/>
      <c r="AF18" s="15" t="s">
        <v>39</v>
      </c>
      <c r="AG18" s="15">
        <f>Insert!I18</f>
        <v>3</v>
      </c>
      <c r="AH18" s="15">
        <v>0</v>
      </c>
      <c r="AI18" s="15">
        <v>39</v>
      </c>
      <c r="AJ18" s="15">
        <v>0</v>
      </c>
      <c r="AK18" s="15">
        <v>0</v>
      </c>
      <c r="AL18" s="15">
        <v>12</v>
      </c>
      <c r="AM18" s="15">
        <v>12</v>
      </c>
      <c r="AN18" s="15">
        <v>2</v>
      </c>
      <c r="AO18" s="15" t="s">
        <v>104</v>
      </c>
      <c r="AP18" s="15"/>
      <c r="AQ18" s="15">
        <v>11</v>
      </c>
      <c r="AR18" s="15">
        <v>2</v>
      </c>
      <c r="AS18" s="15">
        <v>1</v>
      </c>
      <c r="AT18" s="15">
        <v>90</v>
      </c>
      <c r="AU18" s="15">
        <v>1</v>
      </c>
      <c r="AV18" s="15">
        <v>1</v>
      </c>
      <c r="AW18" s="15">
        <v>1</v>
      </c>
      <c r="AX18" s="15">
        <v>0</v>
      </c>
      <c r="AY18" s="15">
        <v>2</v>
      </c>
      <c r="AZ18" s="15" t="s">
        <v>105</v>
      </c>
      <c r="BA18" s="15"/>
      <c r="BB18" s="15" t="s">
        <v>106</v>
      </c>
      <c r="BC18" s="15" t="s">
        <v>107</v>
      </c>
      <c r="BD18" s="15">
        <v>2</v>
      </c>
      <c r="BE18" s="15">
        <v>1</v>
      </c>
      <c r="BF18" s="15">
        <v>0</v>
      </c>
      <c r="BG18" s="15">
        <v>-110</v>
      </c>
      <c r="BH18" s="15">
        <v>5</v>
      </c>
      <c r="BI18" s="15">
        <v>2</v>
      </c>
    </row>
    <row r="19" spans="1:61" ht="14.45">
      <c r="A19" s="15" t="s">
        <v>98</v>
      </c>
      <c r="B19" s="16" t="s">
        <v>99</v>
      </c>
      <c r="C19" s="15"/>
      <c r="D19" s="15" t="str">
        <f>Insert!A19</f>
        <v>Silvus (4200 E UHF Band, 10W Power, 20MHz Bandwidth )</v>
      </c>
      <c r="E19" s="15" t="s">
        <v>100</v>
      </c>
      <c r="F19" s="15" t="s">
        <v>124</v>
      </c>
      <c r="G19" s="15">
        <v>1</v>
      </c>
      <c r="H19" s="15">
        <v>0</v>
      </c>
      <c r="I19" s="15" t="str">
        <f>Insert!C19&amp;Insert!D19</f>
        <v>Silvus4200 E</v>
      </c>
      <c r="J19" s="15" t="s">
        <v>102</v>
      </c>
      <c r="K19" s="15">
        <v>2</v>
      </c>
      <c r="L19" s="15">
        <v>1</v>
      </c>
      <c r="M19" s="15"/>
      <c r="N19" s="17">
        <v>50.789859999999997</v>
      </c>
      <c r="O19" s="17">
        <v>-1.107861</v>
      </c>
      <c r="P19" s="15">
        <v>5</v>
      </c>
      <c r="Q19" s="15">
        <f>Insert!F19</f>
        <v>420</v>
      </c>
      <c r="R19" s="15">
        <f>Insert!G19</f>
        <v>10</v>
      </c>
      <c r="S19" s="15">
        <v>1.5</v>
      </c>
      <c r="T19" s="15" t="s">
        <v>103</v>
      </c>
      <c r="U19" s="15"/>
      <c r="V19" s="17">
        <v>50.786114385379904</v>
      </c>
      <c r="W19" s="17">
        <v>-1.1432767173634899</v>
      </c>
      <c r="X19" s="15">
        <v>1</v>
      </c>
      <c r="Y19" s="15">
        <v>2</v>
      </c>
      <c r="Z19" s="15">
        <v>10</v>
      </c>
      <c r="AA19" s="15"/>
      <c r="AB19" s="15">
        <v>1</v>
      </c>
      <c r="AC19" s="15">
        <v>0</v>
      </c>
      <c r="AD19" s="15">
        <v>0</v>
      </c>
      <c r="AE19" s="15"/>
      <c r="AF19" s="15" t="s">
        <v>39</v>
      </c>
      <c r="AG19" s="15">
        <f>Insert!I19</f>
        <v>3</v>
      </c>
      <c r="AH19" s="15">
        <v>0</v>
      </c>
      <c r="AI19" s="15">
        <v>39</v>
      </c>
      <c r="AJ19" s="15">
        <v>0</v>
      </c>
      <c r="AK19" s="15">
        <v>0</v>
      </c>
      <c r="AL19" s="15">
        <v>12</v>
      </c>
      <c r="AM19" s="15">
        <v>12</v>
      </c>
      <c r="AN19" s="15">
        <v>2</v>
      </c>
      <c r="AO19" s="15" t="s">
        <v>104</v>
      </c>
      <c r="AP19" s="15"/>
      <c r="AQ19" s="15">
        <v>11</v>
      </c>
      <c r="AR19" s="15">
        <v>2</v>
      </c>
      <c r="AS19" s="15">
        <v>1</v>
      </c>
      <c r="AT19" s="15">
        <v>90</v>
      </c>
      <c r="AU19" s="15">
        <v>1</v>
      </c>
      <c r="AV19" s="15">
        <v>1</v>
      </c>
      <c r="AW19" s="15">
        <v>1</v>
      </c>
      <c r="AX19" s="15">
        <v>0</v>
      </c>
      <c r="AY19" s="15">
        <v>2</v>
      </c>
      <c r="AZ19" s="15" t="s">
        <v>105</v>
      </c>
      <c r="BA19" s="15"/>
      <c r="BB19" s="15" t="s">
        <v>106</v>
      </c>
      <c r="BC19" s="15" t="s">
        <v>107</v>
      </c>
      <c r="BD19" s="15">
        <v>2</v>
      </c>
      <c r="BE19" s="15">
        <v>1</v>
      </c>
      <c r="BF19" s="15">
        <v>0</v>
      </c>
      <c r="BG19" s="15">
        <v>-110</v>
      </c>
      <c r="BH19" s="15">
        <v>5</v>
      </c>
      <c r="BI19" s="15">
        <v>2</v>
      </c>
    </row>
    <row r="20" spans="1:61" ht="14.45">
      <c r="A20" s="15" t="s">
        <v>98</v>
      </c>
      <c r="B20" s="16" t="s">
        <v>99</v>
      </c>
      <c r="C20" s="15"/>
      <c r="D20" s="15" t="str">
        <f>Insert!A20</f>
        <v>Silvus (4200 L L Band, 1W Power, 1.25MHz Bandwidth )</v>
      </c>
      <c r="E20" s="15" t="s">
        <v>100</v>
      </c>
      <c r="F20" s="15" t="s">
        <v>125</v>
      </c>
      <c r="G20" s="15">
        <v>1</v>
      </c>
      <c r="H20" s="15">
        <v>0</v>
      </c>
      <c r="I20" s="15" t="str">
        <f>Insert!C20&amp;Insert!D20</f>
        <v>Silvus4200 L</v>
      </c>
      <c r="J20" s="15" t="s">
        <v>102</v>
      </c>
      <c r="K20" s="15">
        <v>2</v>
      </c>
      <c r="L20" s="15">
        <v>1</v>
      </c>
      <c r="M20" s="15"/>
      <c r="N20" s="17">
        <v>50.789859999999997</v>
      </c>
      <c r="O20" s="17">
        <v>-1.107861</v>
      </c>
      <c r="P20" s="15">
        <v>5</v>
      </c>
      <c r="Q20" s="15">
        <f>Insert!F20</f>
        <v>1350</v>
      </c>
      <c r="R20" s="15">
        <f>Insert!G20</f>
        <v>1</v>
      </c>
      <c r="S20" s="15">
        <v>1.5</v>
      </c>
      <c r="T20" s="15" t="s">
        <v>103</v>
      </c>
      <c r="U20" s="15"/>
      <c r="V20" s="17">
        <v>50.786114385379904</v>
      </c>
      <c r="W20" s="17">
        <v>-1.1432767173634899</v>
      </c>
      <c r="X20" s="15">
        <v>1</v>
      </c>
      <c r="Y20" s="15">
        <v>2</v>
      </c>
      <c r="Z20" s="15">
        <v>10</v>
      </c>
      <c r="AA20" s="15"/>
      <c r="AB20" s="15">
        <v>1</v>
      </c>
      <c r="AC20" s="15">
        <v>0</v>
      </c>
      <c r="AD20" s="15">
        <v>0</v>
      </c>
      <c r="AE20" s="15"/>
      <c r="AF20" s="15" t="s">
        <v>39</v>
      </c>
      <c r="AG20" s="15">
        <f>Insert!I20</f>
        <v>3</v>
      </c>
      <c r="AH20" s="15">
        <v>0</v>
      </c>
      <c r="AI20" s="15">
        <v>39</v>
      </c>
      <c r="AJ20" s="15">
        <v>0</v>
      </c>
      <c r="AK20" s="15">
        <v>0</v>
      </c>
      <c r="AL20" s="15">
        <v>12</v>
      </c>
      <c r="AM20" s="15">
        <v>12</v>
      </c>
      <c r="AN20" s="15">
        <v>2</v>
      </c>
      <c r="AO20" s="15" t="s">
        <v>104</v>
      </c>
      <c r="AP20" s="15"/>
      <c r="AQ20" s="15">
        <v>11</v>
      </c>
      <c r="AR20" s="15">
        <v>2</v>
      </c>
      <c r="AS20" s="15">
        <v>1</v>
      </c>
      <c r="AT20" s="15">
        <v>90</v>
      </c>
      <c r="AU20" s="15">
        <v>1</v>
      </c>
      <c r="AV20" s="15">
        <v>1</v>
      </c>
      <c r="AW20" s="15">
        <v>1</v>
      </c>
      <c r="AX20" s="15">
        <v>0</v>
      </c>
      <c r="AY20" s="15">
        <v>2</v>
      </c>
      <c r="AZ20" s="15" t="s">
        <v>105</v>
      </c>
      <c r="BA20" s="15"/>
      <c r="BB20" s="15" t="s">
        <v>106</v>
      </c>
      <c r="BC20" s="15" t="s">
        <v>107</v>
      </c>
      <c r="BD20" s="15">
        <v>2</v>
      </c>
      <c r="BE20" s="15">
        <v>1</v>
      </c>
      <c r="BF20" s="15">
        <v>0</v>
      </c>
      <c r="BG20" s="15">
        <v>-110</v>
      </c>
      <c r="BH20" s="15">
        <v>5</v>
      </c>
      <c r="BI20" s="15">
        <v>2</v>
      </c>
    </row>
    <row r="21" spans="1:61" ht="15.75" customHeight="1">
      <c r="A21" s="15" t="s">
        <v>98</v>
      </c>
      <c r="B21" s="16" t="s">
        <v>99</v>
      </c>
      <c r="C21" s="15"/>
      <c r="D21" s="15" t="str">
        <f>Insert!A21</f>
        <v>Silvus (4200 L S Band, 1W Power, 1.25MHz Bandwidth )</v>
      </c>
      <c r="E21" s="15" t="s">
        <v>100</v>
      </c>
      <c r="F21" s="15" t="s">
        <v>126</v>
      </c>
      <c r="G21" s="15">
        <v>1</v>
      </c>
      <c r="H21" s="15">
        <v>0</v>
      </c>
      <c r="I21" s="15" t="str">
        <f>Insert!C21&amp;Insert!D21</f>
        <v>Silvus4200 L</v>
      </c>
      <c r="J21" s="15" t="s">
        <v>102</v>
      </c>
      <c r="K21" s="15">
        <v>2</v>
      </c>
      <c r="L21" s="15">
        <v>1</v>
      </c>
      <c r="M21" s="15"/>
      <c r="N21" s="17">
        <v>50.789859999999997</v>
      </c>
      <c r="O21" s="17">
        <v>-1.107861</v>
      </c>
      <c r="P21" s="15">
        <v>5</v>
      </c>
      <c r="Q21" s="15">
        <f>Insert!F21</f>
        <v>2200</v>
      </c>
      <c r="R21" s="15">
        <f>Insert!G21</f>
        <v>1</v>
      </c>
      <c r="S21" s="15">
        <v>1.5</v>
      </c>
      <c r="T21" s="15" t="s">
        <v>103</v>
      </c>
      <c r="U21" s="15"/>
      <c r="V21" s="17">
        <v>50.786114385379904</v>
      </c>
      <c r="W21" s="17">
        <v>-1.1432767173634899</v>
      </c>
      <c r="X21" s="15">
        <v>1</v>
      </c>
      <c r="Y21" s="15">
        <v>2</v>
      </c>
      <c r="Z21" s="15">
        <v>10</v>
      </c>
      <c r="AA21" s="15"/>
      <c r="AB21" s="15">
        <v>1</v>
      </c>
      <c r="AC21" s="15">
        <v>0</v>
      </c>
      <c r="AD21" s="15">
        <v>0</v>
      </c>
      <c r="AE21" s="15"/>
      <c r="AF21" s="15" t="s">
        <v>39</v>
      </c>
      <c r="AG21" s="15">
        <f>Insert!I21</f>
        <v>3</v>
      </c>
      <c r="AH21" s="15">
        <v>0</v>
      </c>
      <c r="AI21" s="15">
        <v>39</v>
      </c>
      <c r="AJ21" s="15">
        <v>0</v>
      </c>
      <c r="AK21" s="15">
        <v>0</v>
      </c>
      <c r="AL21" s="15">
        <v>12</v>
      </c>
      <c r="AM21" s="15">
        <v>12</v>
      </c>
      <c r="AN21" s="15">
        <v>2</v>
      </c>
      <c r="AO21" s="15" t="s">
        <v>104</v>
      </c>
      <c r="AP21" s="15"/>
      <c r="AQ21" s="15">
        <v>11</v>
      </c>
      <c r="AR21" s="15">
        <v>2</v>
      </c>
      <c r="AS21" s="15">
        <v>1</v>
      </c>
      <c r="AT21" s="15">
        <v>90</v>
      </c>
      <c r="AU21" s="15">
        <v>1</v>
      </c>
      <c r="AV21" s="15">
        <v>1</v>
      </c>
      <c r="AW21" s="15">
        <v>1</v>
      </c>
      <c r="AX21" s="15">
        <v>0</v>
      </c>
      <c r="AY21" s="15">
        <v>2</v>
      </c>
      <c r="AZ21" s="15" t="s">
        <v>105</v>
      </c>
      <c r="BA21" s="15"/>
      <c r="BB21" s="15" t="s">
        <v>106</v>
      </c>
      <c r="BC21" s="15" t="s">
        <v>107</v>
      </c>
      <c r="BD21" s="15">
        <v>2</v>
      </c>
      <c r="BE21" s="15">
        <v>1</v>
      </c>
      <c r="BF21" s="15">
        <v>0</v>
      </c>
      <c r="BG21" s="15">
        <v>-110</v>
      </c>
      <c r="BH21" s="15">
        <v>5</v>
      </c>
      <c r="BI21" s="15">
        <v>2</v>
      </c>
    </row>
    <row r="22" spans="1:61" ht="15.75" customHeight="1">
      <c r="A22" s="15" t="s">
        <v>98</v>
      </c>
      <c r="B22" s="16" t="s">
        <v>99</v>
      </c>
      <c r="C22" s="15"/>
      <c r="D22" s="15" t="str">
        <f>Insert!A22</f>
        <v>Silvus (4200 L L Band, 1W Power, 5MHz Bandwidth )</v>
      </c>
      <c r="E22" s="15" t="s">
        <v>100</v>
      </c>
      <c r="F22" s="15" t="s">
        <v>127</v>
      </c>
      <c r="G22" s="15">
        <v>1</v>
      </c>
      <c r="H22" s="15">
        <v>0</v>
      </c>
      <c r="I22" s="15" t="str">
        <f>Insert!C22&amp;Insert!D22</f>
        <v>Silvus4200 L</v>
      </c>
      <c r="J22" s="15" t="s">
        <v>102</v>
      </c>
      <c r="K22" s="15">
        <v>2</v>
      </c>
      <c r="L22" s="15">
        <v>1</v>
      </c>
      <c r="M22" s="15"/>
      <c r="N22" s="17">
        <v>50.789859999999997</v>
      </c>
      <c r="O22" s="17">
        <v>-1.107861</v>
      </c>
      <c r="P22" s="15">
        <v>5</v>
      </c>
      <c r="Q22" s="15">
        <f>Insert!F22</f>
        <v>1350</v>
      </c>
      <c r="R22" s="15">
        <f>Insert!G22</f>
        <v>1</v>
      </c>
      <c r="S22" s="15">
        <v>1.5</v>
      </c>
      <c r="T22" s="15" t="s">
        <v>103</v>
      </c>
      <c r="U22" s="15"/>
      <c r="V22" s="17">
        <v>50.786114385379904</v>
      </c>
      <c r="W22" s="17">
        <v>-1.1432767173634899</v>
      </c>
      <c r="X22" s="15">
        <v>1</v>
      </c>
      <c r="Y22" s="15">
        <v>2</v>
      </c>
      <c r="Z22" s="15">
        <v>10</v>
      </c>
      <c r="AA22" s="15"/>
      <c r="AB22" s="15">
        <v>1</v>
      </c>
      <c r="AC22" s="15">
        <v>0</v>
      </c>
      <c r="AD22" s="15">
        <v>0</v>
      </c>
      <c r="AE22" s="15"/>
      <c r="AF22" s="15" t="s">
        <v>39</v>
      </c>
      <c r="AG22" s="15">
        <f>Insert!I22</f>
        <v>3</v>
      </c>
      <c r="AH22" s="15">
        <v>0</v>
      </c>
      <c r="AI22" s="15">
        <v>39</v>
      </c>
      <c r="AJ22" s="15">
        <v>0</v>
      </c>
      <c r="AK22" s="15">
        <v>0</v>
      </c>
      <c r="AL22" s="15">
        <v>12</v>
      </c>
      <c r="AM22" s="15">
        <v>12</v>
      </c>
      <c r="AN22" s="15">
        <v>2</v>
      </c>
      <c r="AO22" s="15" t="s">
        <v>104</v>
      </c>
      <c r="AP22" s="15"/>
      <c r="AQ22" s="15">
        <v>11</v>
      </c>
      <c r="AR22" s="15">
        <v>2</v>
      </c>
      <c r="AS22" s="15">
        <v>1</v>
      </c>
      <c r="AT22" s="15">
        <v>90</v>
      </c>
      <c r="AU22" s="15">
        <v>1</v>
      </c>
      <c r="AV22" s="15">
        <v>1</v>
      </c>
      <c r="AW22" s="15">
        <v>1</v>
      </c>
      <c r="AX22" s="15">
        <v>0</v>
      </c>
      <c r="AY22" s="15">
        <v>2</v>
      </c>
      <c r="AZ22" s="15" t="s">
        <v>105</v>
      </c>
      <c r="BA22" s="15"/>
      <c r="BB22" s="15" t="s">
        <v>106</v>
      </c>
      <c r="BC22" s="15" t="s">
        <v>107</v>
      </c>
      <c r="BD22" s="15">
        <v>2</v>
      </c>
      <c r="BE22" s="15">
        <v>1</v>
      </c>
      <c r="BF22" s="15">
        <v>0</v>
      </c>
      <c r="BG22" s="15">
        <v>-110</v>
      </c>
      <c r="BH22" s="15">
        <v>5</v>
      </c>
      <c r="BI22" s="15">
        <v>2</v>
      </c>
    </row>
    <row r="23" spans="1:61" ht="15.75" customHeight="1">
      <c r="A23" s="15" t="s">
        <v>98</v>
      </c>
      <c r="B23" s="16" t="s">
        <v>99</v>
      </c>
      <c r="C23" s="15"/>
      <c r="D23" s="15" t="str">
        <f>Insert!A23</f>
        <v>Silvus (4200 L S Band, 1W Power, 5MHz Bandwidth )</v>
      </c>
      <c r="E23" s="15" t="s">
        <v>100</v>
      </c>
      <c r="F23" s="15" t="s">
        <v>128</v>
      </c>
      <c r="G23" s="15">
        <v>1</v>
      </c>
      <c r="H23" s="15">
        <v>0</v>
      </c>
      <c r="I23" s="15" t="str">
        <f>Insert!C23&amp;Insert!D23</f>
        <v>Silvus4200 L</v>
      </c>
      <c r="J23" s="15" t="s">
        <v>102</v>
      </c>
      <c r="K23" s="15">
        <v>2</v>
      </c>
      <c r="L23" s="15">
        <v>1</v>
      </c>
      <c r="M23" s="15"/>
      <c r="N23" s="17">
        <v>50.789859999999997</v>
      </c>
      <c r="O23" s="17">
        <v>-1.107861</v>
      </c>
      <c r="P23" s="15">
        <v>5</v>
      </c>
      <c r="Q23" s="15">
        <f>Insert!F23</f>
        <v>2200</v>
      </c>
      <c r="R23" s="15">
        <f>Insert!G23</f>
        <v>1</v>
      </c>
      <c r="S23" s="15">
        <v>1.5</v>
      </c>
      <c r="T23" s="15" t="s">
        <v>103</v>
      </c>
      <c r="U23" s="15"/>
      <c r="V23" s="17">
        <v>50.786114385379904</v>
      </c>
      <c r="W23" s="17">
        <v>-1.1432767173634899</v>
      </c>
      <c r="X23" s="15">
        <v>1</v>
      </c>
      <c r="Y23" s="15">
        <v>2</v>
      </c>
      <c r="Z23" s="15">
        <v>10</v>
      </c>
      <c r="AA23" s="15"/>
      <c r="AB23" s="15">
        <v>1</v>
      </c>
      <c r="AC23" s="15">
        <v>0</v>
      </c>
      <c r="AD23" s="15">
        <v>0</v>
      </c>
      <c r="AE23" s="15"/>
      <c r="AF23" s="15" t="s">
        <v>39</v>
      </c>
      <c r="AG23" s="15">
        <f>Insert!I23</f>
        <v>3</v>
      </c>
      <c r="AH23" s="15">
        <v>0</v>
      </c>
      <c r="AI23" s="15">
        <v>39</v>
      </c>
      <c r="AJ23" s="15">
        <v>0</v>
      </c>
      <c r="AK23" s="15">
        <v>0</v>
      </c>
      <c r="AL23" s="15">
        <v>12</v>
      </c>
      <c r="AM23" s="15">
        <v>12</v>
      </c>
      <c r="AN23" s="15">
        <v>2</v>
      </c>
      <c r="AO23" s="15" t="s">
        <v>104</v>
      </c>
      <c r="AP23" s="15"/>
      <c r="AQ23" s="15">
        <v>11</v>
      </c>
      <c r="AR23" s="15">
        <v>2</v>
      </c>
      <c r="AS23" s="15">
        <v>1</v>
      </c>
      <c r="AT23" s="15">
        <v>90</v>
      </c>
      <c r="AU23" s="15">
        <v>1</v>
      </c>
      <c r="AV23" s="15">
        <v>1</v>
      </c>
      <c r="AW23" s="15">
        <v>1</v>
      </c>
      <c r="AX23" s="15">
        <v>0</v>
      </c>
      <c r="AY23" s="15">
        <v>2</v>
      </c>
      <c r="AZ23" s="15" t="s">
        <v>105</v>
      </c>
      <c r="BA23" s="15"/>
      <c r="BB23" s="15" t="s">
        <v>106</v>
      </c>
      <c r="BC23" s="15" t="s">
        <v>107</v>
      </c>
      <c r="BD23" s="15">
        <v>2</v>
      </c>
      <c r="BE23" s="15">
        <v>1</v>
      </c>
      <c r="BF23" s="15">
        <v>0</v>
      </c>
      <c r="BG23" s="15">
        <v>-110</v>
      </c>
      <c r="BH23" s="15">
        <v>5</v>
      </c>
      <c r="BI23" s="15">
        <v>2</v>
      </c>
    </row>
    <row r="24" spans="1:61" ht="15.75" customHeight="1">
      <c r="A24" s="15" t="s">
        <v>98</v>
      </c>
      <c r="B24" s="16" t="s">
        <v>99</v>
      </c>
      <c r="C24" s="15"/>
      <c r="D24" s="15" t="str">
        <f>Insert!A24</f>
        <v>Silvus (4400 E L Band, 1W Power, 1.25MHz Bandwidth )</v>
      </c>
      <c r="E24" s="15" t="s">
        <v>100</v>
      </c>
      <c r="F24" s="15" t="s">
        <v>129</v>
      </c>
      <c r="G24" s="15">
        <v>1</v>
      </c>
      <c r="H24" s="15">
        <v>0</v>
      </c>
      <c r="I24" s="15" t="str">
        <f>Insert!C24&amp;Insert!D24</f>
        <v>Silvus4400 E</v>
      </c>
      <c r="J24" s="15" t="s">
        <v>102</v>
      </c>
      <c r="K24" s="15">
        <v>2</v>
      </c>
      <c r="L24" s="15">
        <v>1</v>
      </c>
      <c r="M24" s="15"/>
      <c r="N24" s="17">
        <v>50.789859999999997</v>
      </c>
      <c r="O24" s="17">
        <v>-1.107861</v>
      </c>
      <c r="P24" s="15">
        <v>5</v>
      </c>
      <c r="Q24" s="15">
        <f>Insert!F24</f>
        <v>1350</v>
      </c>
      <c r="R24" s="15">
        <f>Insert!G24</f>
        <v>1</v>
      </c>
      <c r="S24" s="15">
        <v>1.5</v>
      </c>
      <c r="T24" s="15" t="s">
        <v>103</v>
      </c>
      <c r="U24" s="15"/>
      <c r="V24" s="17">
        <v>50.786114385379904</v>
      </c>
      <c r="W24" s="17">
        <v>-1.1432767173634899</v>
      </c>
      <c r="X24" s="15">
        <v>1</v>
      </c>
      <c r="Y24" s="15">
        <v>2</v>
      </c>
      <c r="Z24" s="15">
        <v>10</v>
      </c>
      <c r="AA24" s="15"/>
      <c r="AB24" s="15">
        <v>1</v>
      </c>
      <c r="AC24" s="15">
        <v>0</v>
      </c>
      <c r="AD24" s="15">
        <v>0</v>
      </c>
      <c r="AE24" s="15"/>
      <c r="AF24" s="15" t="s">
        <v>39</v>
      </c>
      <c r="AG24" s="15">
        <f>Insert!I24</f>
        <v>6</v>
      </c>
      <c r="AH24" s="15">
        <v>0</v>
      </c>
      <c r="AI24" s="15">
        <v>39</v>
      </c>
      <c r="AJ24" s="15">
        <v>0</v>
      </c>
      <c r="AK24" s="15">
        <v>0</v>
      </c>
      <c r="AL24" s="15">
        <v>12</v>
      </c>
      <c r="AM24" s="15">
        <v>12</v>
      </c>
      <c r="AN24" s="15">
        <v>2</v>
      </c>
      <c r="AO24" s="15" t="s">
        <v>104</v>
      </c>
      <c r="AP24" s="15"/>
      <c r="AQ24" s="15">
        <v>11</v>
      </c>
      <c r="AR24" s="15">
        <v>2</v>
      </c>
      <c r="AS24" s="15">
        <v>1</v>
      </c>
      <c r="AT24" s="15">
        <v>90</v>
      </c>
      <c r="AU24" s="15">
        <v>1</v>
      </c>
      <c r="AV24" s="15">
        <v>1</v>
      </c>
      <c r="AW24" s="15">
        <v>1</v>
      </c>
      <c r="AX24" s="15">
        <v>0</v>
      </c>
      <c r="AY24" s="15">
        <v>2</v>
      </c>
      <c r="AZ24" s="15" t="s">
        <v>105</v>
      </c>
      <c r="BA24" s="15"/>
      <c r="BB24" s="15" t="s">
        <v>106</v>
      </c>
      <c r="BC24" s="15" t="s">
        <v>107</v>
      </c>
      <c r="BD24" s="15">
        <v>2</v>
      </c>
      <c r="BE24" s="15">
        <v>1</v>
      </c>
      <c r="BF24" s="15">
        <v>0</v>
      </c>
      <c r="BG24" s="15">
        <v>-110</v>
      </c>
      <c r="BH24" s="15">
        <v>5</v>
      </c>
      <c r="BI24" s="15">
        <v>2</v>
      </c>
    </row>
    <row r="25" spans="1:61" ht="15.75" customHeight="1">
      <c r="A25" s="15" t="s">
        <v>98</v>
      </c>
      <c r="B25" s="16" t="s">
        <v>99</v>
      </c>
      <c r="C25" s="15"/>
      <c r="D25" s="15" t="str">
        <f>Insert!A25</f>
        <v>Silvus (4400 E S Band, 1W Power, 1.25MHz Bandwidth )</v>
      </c>
      <c r="E25" s="15" t="s">
        <v>100</v>
      </c>
      <c r="F25" s="15" t="s">
        <v>130</v>
      </c>
      <c r="G25" s="15">
        <v>1</v>
      </c>
      <c r="H25" s="15">
        <v>0</v>
      </c>
      <c r="I25" s="15" t="str">
        <f>Insert!C25&amp;Insert!D25</f>
        <v>Silvus4400 E</v>
      </c>
      <c r="J25" s="15" t="s">
        <v>102</v>
      </c>
      <c r="K25" s="15">
        <v>2</v>
      </c>
      <c r="L25" s="15">
        <v>1</v>
      </c>
      <c r="M25" s="15"/>
      <c r="N25" s="17">
        <v>50.789859999999997</v>
      </c>
      <c r="O25" s="17">
        <v>-1.107861</v>
      </c>
      <c r="P25" s="15">
        <v>5</v>
      </c>
      <c r="Q25" s="15">
        <f>Insert!F25</f>
        <v>2200</v>
      </c>
      <c r="R25" s="15">
        <f>Insert!G25</f>
        <v>1</v>
      </c>
      <c r="S25" s="15">
        <v>1.5</v>
      </c>
      <c r="T25" s="15" t="s">
        <v>103</v>
      </c>
      <c r="U25" s="15"/>
      <c r="V25" s="17">
        <v>50.786114385379904</v>
      </c>
      <c r="W25" s="17">
        <v>-1.1432767173634899</v>
      </c>
      <c r="X25" s="15">
        <v>1</v>
      </c>
      <c r="Y25" s="15">
        <v>2</v>
      </c>
      <c r="Z25" s="15">
        <v>10</v>
      </c>
      <c r="AA25" s="15"/>
      <c r="AB25" s="15">
        <v>1</v>
      </c>
      <c r="AC25" s="15">
        <v>0</v>
      </c>
      <c r="AD25" s="15">
        <v>0</v>
      </c>
      <c r="AE25" s="15"/>
      <c r="AF25" s="15" t="s">
        <v>39</v>
      </c>
      <c r="AG25" s="15">
        <f>Insert!I25</f>
        <v>6</v>
      </c>
      <c r="AH25" s="15">
        <v>0</v>
      </c>
      <c r="AI25" s="15">
        <v>39</v>
      </c>
      <c r="AJ25" s="15">
        <v>0</v>
      </c>
      <c r="AK25" s="15">
        <v>0</v>
      </c>
      <c r="AL25" s="15">
        <v>12</v>
      </c>
      <c r="AM25" s="15">
        <v>12</v>
      </c>
      <c r="AN25" s="15">
        <v>2</v>
      </c>
      <c r="AO25" s="15" t="s">
        <v>104</v>
      </c>
      <c r="AP25" s="15"/>
      <c r="AQ25" s="15">
        <v>11</v>
      </c>
      <c r="AR25" s="15">
        <v>2</v>
      </c>
      <c r="AS25" s="15">
        <v>1</v>
      </c>
      <c r="AT25" s="15">
        <v>90</v>
      </c>
      <c r="AU25" s="15">
        <v>1</v>
      </c>
      <c r="AV25" s="15">
        <v>1</v>
      </c>
      <c r="AW25" s="15">
        <v>1</v>
      </c>
      <c r="AX25" s="15">
        <v>0</v>
      </c>
      <c r="AY25" s="15">
        <v>2</v>
      </c>
      <c r="AZ25" s="15" t="s">
        <v>105</v>
      </c>
      <c r="BA25" s="15"/>
      <c r="BB25" s="15" t="s">
        <v>106</v>
      </c>
      <c r="BC25" s="15" t="s">
        <v>107</v>
      </c>
      <c r="BD25" s="15">
        <v>2</v>
      </c>
      <c r="BE25" s="15">
        <v>1</v>
      </c>
      <c r="BF25" s="15">
        <v>0</v>
      </c>
      <c r="BG25" s="15">
        <v>-110</v>
      </c>
      <c r="BH25" s="15">
        <v>5</v>
      </c>
      <c r="BI25" s="15">
        <v>2</v>
      </c>
    </row>
    <row r="26" spans="1:61" ht="15.75" customHeight="1">
      <c r="A26" s="15" t="s">
        <v>98</v>
      </c>
      <c r="B26" s="16" t="s">
        <v>99</v>
      </c>
      <c r="C26" s="15"/>
      <c r="D26" s="15" t="str">
        <f>Insert!A26</f>
        <v>Silvus (4400 E UHF Band, 1W Power, 1.25MHz Bandwidth )</v>
      </c>
      <c r="E26" s="15" t="s">
        <v>100</v>
      </c>
      <c r="F26" s="15" t="s">
        <v>131</v>
      </c>
      <c r="G26" s="15">
        <v>1</v>
      </c>
      <c r="H26" s="15">
        <v>0</v>
      </c>
      <c r="I26" s="15" t="str">
        <f>Insert!C26&amp;Insert!D26</f>
        <v>Silvus4400 E</v>
      </c>
      <c r="J26" s="15" t="s">
        <v>102</v>
      </c>
      <c r="K26" s="15">
        <v>2</v>
      </c>
      <c r="L26" s="15">
        <v>1</v>
      </c>
      <c r="M26" s="15"/>
      <c r="N26" s="17">
        <v>50.789859999999997</v>
      </c>
      <c r="O26" s="17">
        <v>-1.107861</v>
      </c>
      <c r="P26" s="15">
        <v>5</v>
      </c>
      <c r="Q26" s="15">
        <f>Insert!F26</f>
        <v>420</v>
      </c>
      <c r="R26" s="15">
        <f>Insert!G26</f>
        <v>1</v>
      </c>
      <c r="S26" s="15">
        <v>1.5</v>
      </c>
      <c r="T26" s="15" t="s">
        <v>103</v>
      </c>
      <c r="U26" s="15"/>
      <c r="V26" s="17">
        <v>50.786114385379904</v>
      </c>
      <c r="W26" s="17">
        <v>-1.1432767173634899</v>
      </c>
      <c r="X26" s="15">
        <v>1</v>
      </c>
      <c r="Y26" s="15">
        <v>2</v>
      </c>
      <c r="Z26" s="15">
        <v>10</v>
      </c>
      <c r="AA26" s="15"/>
      <c r="AB26" s="15">
        <v>1</v>
      </c>
      <c r="AC26" s="15">
        <v>0</v>
      </c>
      <c r="AD26" s="15">
        <v>0</v>
      </c>
      <c r="AE26" s="15"/>
      <c r="AF26" s="15" t="s">
        <v>39</v>
      </c>
      <c r="AG26" s="15">
        <f>Insert!I26</f>
        <v>6</v>
      </c>
      <c r="AH26" s="15">
        <v>0</v>
      </c>
      <c r="AI26" s="15">
        <v>39</v>
      </c>
      <c r="AJ26" s="15">
        <v>0</v>
      </c>
      <c r="AK26" s="15">
        <v>0</v>
      </c>
      <c r="AL26" s="15">
        <v>12</v>
      </c>
      <c r="AM26" s="15">
        <v>12</v>
      </c>
      <c r="AN26" s="15">
        <v>2</v>
      </c>
      <c r="AO26" s="15" t="s">
        <v>104</v>
      </c>
      <c r="AP26" s="15"/>
      <c r="AQ26" s="15">
        <v>11</v>
      </c>
      <c r="AR26" s="15">
        <v>2</v>
      </c>
      <c r="AS26" s="15">
        <v>1</v>
      </c>
      <c r="AT26" s="15">
        <v>90</v>
      </c>
      <c r="AU26" s="15">
        <v>1</v>
      </c>
      <c r="AV26" s="15">
        <v>1</v>
      </c>
      <c r="AW26" s="15">
        <v>1</v>
      </c>
      <c r="AX26" s="15">
        <v>0</v>
      </c>
      <c r="AY26" s="15">
        <v>2</v>
      </c>
      <c r="AZ26" s="15" t="s">
        <v>105</v>
      </c>
      <c r="BA26" s="15"/>
      <c r="BB26" s="15" t="s">
        <v>106</v>
      </c>
      <c r="BC26" s="15" t="s">
        <v>107</v>
      </c>
      <c r="BD26" s="15">
        <v>2</v>
      </c>
      <c r="BE26" s="15">
        <v>1</v>
      </c>
      <c r="BF26" s="15">
        <v>0</v>
      </c>
      <c r="BG26" s="15">
        <v>-110</v>
      </c>
      <c r="BH26" s="15">
        <v>5</v>
      </c>
      <c r="BI26" s="15">
        <v>2</v>
      </c>
    </row>
    <row r="27" spans="1:61" ht="15.75" customHeight="1">
      <c r="A27" s="15" t="s">
        <v>98</v>
      </c>
      <c r="B27" s="16" t="s">
        <v>99</v>
      </c>
      <c r="C27" s="15"/>
      <c r="D27" s="15" t="str">
        <f>Insert!A27</f>
        <v>Silvus (4400 E L Band, 4W Power, 1.25MHz Bandwidth )</v>
      </c>
      <c r="E27" s="15" t="s">
        <v>100</v>
      </c>
      <c r="F27" s="15" t="s">
        <v>132</v>
      </c>
      <c r="G27" s="15">
        <v>1</v>
      </c>
      <c r="H27" s="15">
        <v>0</v>
      </c>
      <c r="I27" s="15" t="str">
        <f>Insert!C27&amp;Insert!D27</f>
        <v>Silvus4400 E</v>
      </c>
      <c r="J27" s="15" t="s">
        <v>102</v>
      </c>
      <c r="K27" s="15">
        <v>2</v>
      </c>
      <c r="L27" s="15">
        <v>1</v>
      </c>
      <c r="M27" s="15"/>
      <c r="N27" s="17">
        <v>50.789859999999997</v>
      </c>
      <c r="O27" s="17">
        <v>-1.107861</v>
      </c>
      <c r="P27" s="15">
        <v>5</v>
      </c>
      <c r="Q27" s="15">
        <f>Insert!F27</f>
        <v>1350</v>
      </c>
      <c r="R27" s="15">
        <f>Insert!G27</f>
        <v>4</v>
      </c>
      <c r="S27" s="15">
        <v>1.5</v>
      </c>
      <c r="T27" s="15" t="s">
        <v>103</v>
      </c>
      <c r="U27" s="15"/>
      <c r="V27" s="17">
        <v>50.786114385379904</v>
      </c>
      <c r="W27" s="17">
        <v>-1.1432767173634899</v>
      </c>
      <c r="X27" s="15">
        <v>1</v>
      </c>
      <c r="Y27" s="15">
        <v>2</v>
      </c>
      <c r="Z27" s="15">
        <v>10</v>
      </c>
      <c r="AA27" s="15"/>
      <c r="AB27" s="15">
        <v>1</v>
      </c>
      <c r="AC27" s="15">
        <v>0</v>
      </c>
      <c r="AD27" s="15">
        <v>0</v>
      </c>
      <c r="AE27" s="15"/>
      <c r="AF27" s="15" t="s">
        <v>39</v>
      </c>
      <c r="AG27" s="15">
        <f>Insert!I27</f>
        <v>6</v>
      </c>
      <c r="AH27" s="15">
        <v>0</v>
      </c>
      <c r="AI27" s="15">
        <v>39</v>
      </c>
      <c r="AJ27" s="15">
        <v>0</v>
      </c>
      <c r="AK27" s="15">
        <v>0</v>
      </c>
      <c r="AL27" s="15">
        <v>12</v>
      </c>
      <c r="AM27" s="15">
        <v>12</v>
      </c>
      <c r="AN27" s="15">
        <v>2</v>
      </c>
      <c r="AO27" s="15" t="s">
        <v>104</v>
      </c>
      <c r="AP27" s="15"/>
      <c r="AQ27" s="15">
        <v>11</v>
      </c>
      <c r="AR27" s="15">
        <v>2</v>
      </c>
      <c r="AS27" s="15">
        <v>1</v>
      </c>
      <c r="AT27" s="15">
        <v>90</v>
      </c>
      <c r="AU27" s="15">
        <v>1</v>
      </c>
      <c r="AV27" s="15">
        <v>1</v>
      </c>
      <c r="AW27" s="15">
        <v>1</v>
      </c>
      <c r="AX27" s="15">
        <v>0</v>
      </c>
      <c r="AY27" s="15">
        <v>2</v>
      </c>
      <c r="AZ27" s="15" t="s">
        <v>105</v>
      </c>
      <c r="BA27" s="15"/>
      <c r="BB27" s="15" t="s">
        <v>106</v>
      </c>
      <c r="BC27" s="15" t="s">
        <v>107</v>
      </c>
      <c r="BD27" s="15">
        <v>2</v>
      </c>
      <c r="BE27" s="15">
        <v>1</v>
      </c>
      <c r="BF27" s="15">
        <v>0</v>
      </c>
      <c r="BG27" s="15">
        <v>-110</v>
      </c>
      <c r="BH27" s="15">
        <v>5</v>
      </c>
      <c r="BI27" s="15">
        <v>2</v>
      </c>
    </row>
    <row r="28" spans="1:61" ht="15.75" customHeight="1">
      <c r="A28" s="15" t="s">
        <v>98</v>
      </c>
      <c r="B28" s="16" t="s">
        <v>99</v>
      </c>
      <c r="C28" s="15"/>
      <c r="D28" s="15" t="str">
        <f>Insert!A28</f>
        <v>Silvus (4400 E S Band, 4W Power, 1.25MHz Bandwidth )</v>
      </c>
      <c r="E28" s="15" t="s">
        <v>100</v>
      </c>
      <c r="F28" s="15" t="s">
        <v>133</v>
      </c>
      <c r="G28" s="15">
        <v>1</v>
      </c>
      <c r="H28" s="15">
        <v>0</v>
      </c>
      <c r="I28" s="15" t="str">
        <f>Insert!C28&amp;Insert!D28</f>
        <v>Silvus4400 E</v>
      </c>
      <c r="J28" s="15" t="s">
        <v>102</v>
      </c>
      <c r="K28" s="15">
        <v>2</v>
      </c>
      <c r="L28" s="15">
        <v>1</v>
      </c>
      <c r="M28" s="15"/>
      <c r="N28" s="17">
        <v>50.789859999999997</v>
      </c>
      <c r="O28" s="17">
        <v>-1.107861</v>
      </c>
      <c r="P28" s="15">
        <v>5</v>
      </c>
      <c r="Q28" s="15">
        <f>Insert!F28</f>
        <v>2200</v>
      </c>
      <c r="R28" s="15">
        <f>Insert!G28</f>
        <v>4</v>
      </c>
      <c r="S28" s="15">
        <v>1.5</v>
      </c>
      <c r="T28" s="15" t="s">
        <v>103</v>
      </c>
      <c r="U28" s="15"/>
      <c r="V28" s="17">
        <v>50.786114385379904</v>
      </c>
      <c r="W28" s="17">
        <v>-1.1432767173634899</v>
      </c>
      <c r="X28" s="15">
        <v>1</v>
      </c>
      <c r="Y28" s="15">
        <v>2</v>
      </c>
      <c r="Z28" s="15">
        <v>10</v>
      </c>
      <c r="AA28" s="15"/>
      <c r="AB28" s="15">
        <v>1</v>
      </c>
      <c r="AC28" s="15">
        <v>0</v>
      </c>
      <c r="AD28" s="15">
        <v>0</v>
      </c>
      <c r="AE28" s="15"/>
      <c r="AF28" s="15" t="s">
        <v>39</v>
      </c>
      <c r="AG28" s="15">
        <f>Insert!I28</f>
        <v>6</v>
      </c>
      <c r="AH28" s="15">
        <v>0</v>
      </c>
      <c r="AI28" s="15">
        <v>39</v>
      </c>
      <c r="AJ28" s="15">
        <v>0</v>
      </c>
      <c r="AK28" s="15">
        <v>0</v>
      </c>
      <c r="AL28" s="15">
        <v>12</v>
      </c>
      <c r="AM28" s="15">
        <v>12</v>
      </c>
      <c r="AN28" s="15">
        <v>2</v>
      </c>
      <c r="AO28" s="15" t="s">
        <v>104</v>
      </c>
      <c r="AP28" s="15"/>
      <c r="AQ28" s="15">
        <v>11</v>
      </c>
      <c r="AR28" s="15">
        <v>2</v>
      </c>
      <c r="AS28" s="15">
        <v>1</v>
      </c>
      <c r="AT28" s="15">
        <v>90</v>
      </c>
      <c r="AU28" s="15">
        <v>1</v>
      </c>
      <c r="AV28" s="15">
        <v>1</v>
      </c>
      <c r="AW28" s="15">
        <v>1</v>
      </c>
      <c r="AX28" s="15">
        <v>0</v>
      </c>
      <c r="AY28" s="15">
        <v>2</v>
      </c>
      <c r="AZ28" s="15" t="s">
        <v>105</v>
      </c>
      <c r="BA28" s="15"/>
      <c r="BB28" s="15" t="s">
        <v>106</v>
      </c>
      <c r="BC28" s="15" t="s">
        <v>107</v>
      </c>
      <c r="BD28" s="15">
        <v>2</v>
      </c>
      <c r="BE28" s="15">
        <v>1</v>
      </c>
      <c r="BF28" s="15">
        <v>0</v>
      </c>
      <c r="BG28" s="15">
        <v>-110</v>
      </c>
      <c r="BH28" s="15">
        <v>5</v>
      </c>
      <c r="BI28" s="15">
        <v>2</v>
      </c>
    </row>
    <row r="29" spans="1:61" ht="15.75" customHeight="1">
      <c r="A29" s="15" t="s">
        <v>98</v>
      </c>
      <c r="B29" s="16" t="s">
        <v>99</v>
      </c>
      <c r="C29" s="15"/>
      <c r="D29" s="15" t="str">
        <f>Insert!A29</f>
        <v>Silvus (4400 E UHF Band, 4W Power, 1.25MHz Bandwidth )</v>
      </c>
      <c r="E29" s="15" t="s">
        <v>100</v>
      </c>
      <c r="F29" s="15" t="s">
        <v>134</v>
      </c>
      <c r="G29" s="15">
        <v>1</v>
      </c>
      <c r="H29" s="15">
        <v>0</v>
      </c>
      <c r="I29" s="15" t="str">
        <f>Insert!C29&amp;Insert!D29</f>
        <v>Silvus4400 E</v>
      </c>
      <c r="J29" s="15" t="s">
        <v>102</v>
      </c>
      <c r="K29" s="15">
        <v>2</v>
      </c>
      <c r="L29" s="15">
        <v>1</v>
      </c>
      <c r="M29" s="15"/>
      <c r="N29" s="17">
        <v>50.789859999999997</v>
      </c>
      <c r="O29" s="17">
        <v>-1.107861</v>
      </c>
      <c r="P29" s="15">
        <v>5</v>
      </c>
      <c r="Q29" s="15">
        <f>Insert!F29</f>
        <v>420</v>
      </c>
      <c r="R29" s="15">
        <f>Insert!G29</f>
        <v>4</v>
      </c>
      <c r="S29" s="15">
        <v>1.5</v>
      </c>
      <c r="T29" s="15" t="s">
        <v>103</v>
      </c>
      <c r="U29" s="15"/>
      <c r="V29" s="17">
        <v>50.786114385379904</v>
      </c>
      <c r="W29" s="17">
        <v>-1.1432767173634899</v>
      </c>
      <c r="X29" s="15">
        <v>1</v>
      </c>
      <c r="Y29" s="15">
        <v>2</v>
      </c>
      <c r="Z29" s="15">
        <v>10</v>
      </c>
      <c r="AA29" s="15"/>
      <c r="AB29" s="15">
        <v>1</v>
      </c>
      <c r="AC29" s="15">
        <v>0</v>
      </c>
      <c r="AD29" s="15">
        <v>0</v>
      </c>
      <c r="AE29" s="15"/>
      <c r="AF29" s="15" t="s">
        <v>39</v>
      </c>
      <c r="AG29" s="15">
        <f>Insert!I29</f>
        <v>6</v>
      </c>
      <c r="AH29" s="15">
        <v>0</v>
      </c>
      <c r="AI29" s="15">
        <v>39</v>
      </c>
      <c r="AJ29" s="15">
        <v>0</v>
      </c>
      <c r="AK29" s="15">
        <v>0</v>
      </c>
      <c r="AL29" s="15">
        <v>12</v>
      </c>
      <c r="AM29" s="15">
        <v>12</v>
      </c>
      <c r="AN29" s="15">
        <v>2</v>
      </c>
      <c r="AO29" s="15" t="s">
        <v>104</v>
      </c>
      <c r="AP29" s="15"/>
      <c r="AQ29" s="15">
        <v>11</v>
      </c>
      <c r="AR29" s="15">
        <v>2</v>
      </c>
      <c r="AS29" s="15">
        <v>1</v>
      </c>
      <c r="AT29" s="15">
        <v>90</v>
      </c>
      <c r="AU29" s="15">
        <v>1</v>
      </c>
      <c r="AV29" s="15">
        <v>1</v>
      </c>
      <c r="AW29" s="15">
        <v>1</v>
      </c>
      <c r="AX29" s="15">
        <v>0</v>
      </c>
      <c r="AY29" s="15">
        <v>2</v>
      </c>
      <c r="AZ29" s="15" t="s">
        <v>105</v>
      </c>
      <c r="BA29" s="15"/>
      <c r="BB29" s="15" t="s">
        <v>106</v>
      </c>
      <c r="BC29" s="15" t="s">
        <v>107</v>
      </c>
      <c r="BD29" s="15">
        <v>2</v>
      </c>
      <c r="BE29" s="15">
        <v>1</v>
      </c>
      <c r="BF29" s="15">
        <v>0</v>
      </c>
      <c r="BG29" s="15">
        <v>-110</v>
      </c>
      <c r="BH29" s="15">
        <v>5</v>
      </c>
      <c r="BI29" s="15">
        <v>2</v>
      </c>
    </row>
    <row r="30" spans="1:61" ht="15.75" customHeight="1">
      <c r="A30" s="15" t="s">
        <v>98</v>
      </c>
      <c r="B30" s="16" t="s">
        <v>99</v>
      </c>
      <c r="C30" s="15"/>
      <c r="D30" s="15" t="str">
        <f>Insert!A30</f>
        <v>Silvus (4400 E L Band, 10W Power, 1.25MHz Bandwidth )</v>
      </c>
      <c r="E30" s="15" t="s">
        <v>100</v>
      </c>
      <c r="F30" s="15" t="s">
        <v>135</v>
      </c>
      <c r="G30" s="15">
        <v>1</v>
      </c>
      <c r="H30" s="15">
        <v>0</v>
      </c>
      <c r="I30" s="15" t="str">
        <f>Insert!C30&amp;Insert!D30</f>
        <v>Silvus4400 E</v>
      </c>
      <c r="J30" s="15" t="s">
        <v>102</v>
      </c>
      <c r="K30" s="15">
        <v>2</v>
      </c>
      <c r="L30" s="15">
        <v>1</v>
      </c>
      <c r="M30" s="15"/>
      <c r="N30" s="17">
        <v>50.789859999999997</v>
      </c>
      <c r="O30" s="17">
        <v>-1.107861</v>
      </c>
      <c r="P30" s="15">
        <v>5</v>
      </c>
      <c r="Q30" s="15">
        <f>Insert!F30</f>
        <v>1350</v>
      </c>
      <c r="R30" s="15">
        <f>Insert!G30</f>
        <v>10</v>
      </c>
      <c r="S30" s="15">
        <v>1.5</v>
      </c>
      <c r="T30" s="15" t="s">
        <v>103</v>
      </c>
      <c r="U30" s="15"/>
      <c r="V30" s="17">
        <v>50.786114385379904</v>
      </c>
      <c r="W30" s="17">
        <v>-1.1432767173634899</v>
      </c>
      <c r="X30" s="15">
        <v>1</v>
      </c>
      <c r="Y30" s="15">
        <v>2</v>
      </c>
      <c r="Z30" s="15">
        <v>10</v>
      </c>
      <c r="AA30" s="15"/>
      <c r="AB30" s="15">
        <v>1</v>
      </c>
      <c r="AC30" s="15">
        <v>0</v>
      </c>
      <c r="AD30" s="15">
        <v>0</v>
      </c>
      <c r="AE30" s="15"/>
      <c r="AF30" s="15" t="s">
        <v>39</v>
      </c>
      <c r="AG30" s="15">
        <f>Insert!I30</f>
        <v>6</v>
      </c>
      <c r="AH30" s="15">
        <v>0</v>
      </c>
      <c r="AI30" s="15">
        <v>39</v>
      </c>
      <c r="AJ30" s="15">
        <v>0</v>
      </c>
      <c r="AK30" s="15">
        <v>0</v>
      </c>
      <c r="AL30" s="15">
        <v>12</v>
      </c>
      <c r="AM30" s="15">
        <v>12</v>
      </c>
      <c r="AN30" s="15">
        <v>2</v>
      </c>
      <c r="AO30" s="15" t="s">
        <v>104</v>
      </c>
      <c r="AP30" s="15"/>
      <c r="AQ30" s="15">
        <v>11</v>
      </c>
      <c r="AR30" s="15">
        <v>2</v>
      </c>
      <c r="AS30" s="15">
        <v>1</v>
      </c>
      <c r="AT30" s="15">
        <v>90</v>
      </c>
      <c r="AU30" s="15">
        <v>1</v>
      </c>
      <c r="AV30" s="15">
        <v>1</v>
      </c>
      <c r="AW30" s="15">
        <v>1</v>
      </c>
      <c r="AX30" s="15">
        <v>0</v>
      </c>
      <c r="AY30" s="15">
        <v>2</v>
      </c>
      <c r="AZ30" s="15" t="s">
        <v>105</v>
      </c>
      <c r="BA30" s="15"/>
      <c r="BB30" s="15" t="s">
        <v>106</v>
      </c>
      <c r="BC30" s="15" t="s">
        <v>107</v>
      </c>
      <c r="BD30" s="15">
        <v>2</v>
      </c>
      <c r="BE30" s="15">
        <v>1</v>
      </c>
      <c r="BF30" s="15">
        <v>0</v>
      </c>
      <c r="BG30" s="15">
        <v>-110</v>
      </c>
      <c r="BH30" s="15">
        <v>5</v>
      </c>
      <c r="BI30" s="15">
        <v>2</v>
      </c>
    </row>
    <row r="31" spans="1:61" ht="15.75" customHeight="1">
      <c r="A31" s="15" t="s">
        <v>98</v>
      </c>
      <c r="B31" s="16" t="s">
        <v>99</v>
      </c>
      <c r="C31" s="15"/>
      <c r="D31" s="15" t="str">
        <f>Insert!A31</f>
        <v>Silvus (4400 E S Band, 10W Power, 1.25MHz Bandwidth )</v>
      </c>
      <c r="E31" s="15" t="s">
        <v>100</v>
      </c>
      <c r="F31" s="15" t="s">
        <v>136</v>
      </c>
      <c r="G31" s="15">
        <v>1</v>
      </c>
      <c r="H31" s="15">
        <v>0</v>
      </c>
      <c r="I31" s="15" t="str">
        <f>Insert!C31&amp;Insert!D31</f>
        <v>Silvus4400 E</v>
      </c>
      <c r="J31" s="15" t="s">
        <v>102</v>
      </c>
      <c r="K31" s="15">
        <v>2</v>
      </c>
      <c r="L31" s="15">
        <v>1</v>
      </c>
      <c r="M31" s="15"/>
      <c r="N31" s="17">
        <v>50.789859999999997</v>
      </c>
      <c r="O31" s="17">
        <v>-1.107861</v>
      </c>
      <c r="P31" s="15">
        <v>5</v>
      </c>
      <c r="Q31" s="15">
        <f>Insert!F31</f>
        <v>2200</v>
      </c>
      <c r="R31" s="15">
        <f>Insert!G31</f>
        <v>10</v>
      </c>
      <c r="S31" s="15">
        <v>1.5</v>
      </c>
      <c r="T31" s="15" t="s">
        <v>103</v>
      </c>
      <c r="U31" s="15"/>
      <c r="V31" s="17">
        <v>50.786114385379904</v>
      </c>
      <c r="W31" s="17">
        <v>-1.1432767173634899</v>
      </c>
      <c r="X31" s="15">
        <v>1</v>
      </c>
      <c r="Y31" s="15">
        <v>2</v>
      </c>
      <c r="Z31" s="15">
        <v>10</v>
      </c>
      <c r="AA31" s="15"/>
      <c r="AB31" s="15">
        <v>1</v>
      </c>
      <c r="AC31" s="15">
        <v>0</v>
      </c>
      <c r="AD31" s="15">
        <v>0</v>
      </c>
      <c r="AE31" s="15"/>
      <c r="AF31" s="15" t="s">
        <v>39</v>
      </c>
      <c r="AG31" s="15">
        <f>Insert!I31</f>
        <v>6</v>
      </c>
      <c r="AH31" s="15">
        <v>0</v>
      </c>
      <c r="AI31" s="15">
        <v>39</v>
      </c>
      <c r="AJ31" s="15">
        <v>0</v>
      </c>
      <c r="AK31" s="15">
        <v>0</v>
      </c>
      <c r="AL31" s="15">
        <v>12</v>
      </c>
      <c r="AM31" s="15">
        <v>12</v>
      </c>
      <c r="AN31" s="15">
        <v>2</v>
      </c>
      <c r="AO31" s="15" t="s">
        <v>104</v>
      </c>
      <c r="AP31" s="15"/>
      <c r="AQ31" s="15">
        <v>11</v>
      </c>
      <c r="AR31" s="15">
        <v>2</v>
      </c>
      <c r="AS31" s="15">
        <v>1</v>
      </c>
      <c r="AT31" s="15">
        <v>90</v>
      </c>
      <c r="AU31" s="15">
        <v>1</v>
      </c>
      <c r="AV31" s="15">
        <v>1</v>
      </c>
      <c r="AW31" s="15">
        <v>1</v>
      </c>
      <c r="AX31" s="15">
        <v>0</v>
      </c>
      <c r="AY31" s="15">
        <v>2</v>
      </c>
      <c r="AZ31" s="15" t="s">
        <v>105</v>
      </c>
      <c r="BA31" s="15"/>
      <c r="BB31" s="15" t="s">
        <v>106</v>
      </c>
      <c r="BC31" s="15" t="s">
        <v>107</v>
      </c>
      <c r="BD31" s="15">
        <v>2</v>
      </c>
      <c r="BE31" s="15">
        <v>1</v>
      </c>
      <c r="BF31" s="15">
        <v>0</v>
      </c>
      <c r="BG31" s="15">
        <v>-110</v>
      </c>
      <c r="BH31" s="15">
        <v>5</v>
      </c>
      <c r="BI31" s="15">
        <v>2</v>
      </c>
    </row>
    <row r="32" spans="1:61" ht="15.75" customHeight="1">
      <c r="A32" s="15" t="s">
        <v>98</v>
      </c>
      <c r="B32" s="16" t="s">
        <v>99</v>
      </c>
      <c r="C32" s="15"/>
      <c r="D32" s="15" t="str">
        <f>Insert!A32</f>
        <v>Silvus (4400 E UHF Band, 10W Power, 1.25MHz Bandwidth )</v>
      </c>
      <c r="E32" s="15" t="s">
        <v>100</v>
      </c>
      <c r="F32" s="15" t="s">
        <v>137</v>
      </c>
      <c r="G32" s="15">
        <v>1</v>
      </c>
      <c r="H32" s="15">
        <v>0</v>
      </c>
      <c r="I32" s="15" t="str">
        <f>Insert!C32&amp;Insert!D32</f>
        <v>Silvus4400 E</v>
      </c>
      <c r="J32" s="15" t="s">
        <v>102</v>
      </c>
      <c r="K32" s="15">
        <v>2</v>
      </c>
      <c r="L32" s="15">
        <v>1</v>
      </c>
      <c r="M32" s="15"/>
      <c r="N32" s="17">
        <v>50.789859999999997</v>
      </c>
      <c r="O32" s="17">
        <v>-1.107861</v>
      </c>
      <c r="P32" s="15">
        <v>5</v>
      </c>
      <c r="Q32" s="15">
        <f>Insert!F32</f>
        <v>420</v>
      </c>
      <c r="R32" s="15">
        <f>Insert!G32</f>
        <v>10</v>
      </c>
      <c r="S32" s="15">
        <v>1.5</v>
      </c>
      <c r="T32" s="15" t="s">
        <v>103</v>
      </c>
      <c r="U32" s="15"/>
      <c r="V32" s="17">
        <v>50.786114385379904</v>
      </c>
      <c r="W32" s="17">
        <v>-1.1432767173634899</v>
      </c>
      <c r="X32" s="15">
        <v>1</v>
      </c>
      <c r="Y32" s="15">
        <v>2</v>
      </c>
      <c r="Z32" s="15">
        <v>10</v>
      </c>
      <c r="AA32" s="15"/>
      <c r="AB32" s="15">
        <v>1</v>
      </c>
      <c r="AC32" s="15">
        <v>0</v>
      </c>
      <c r="AD32" s="15">
        <v>0</v>
      </c>
      <c r="AE32" s="15"/>
      <c r="AF32" s="15" t="s">
        <v>39</v>
      </c>
      <c r="AG32" s="15">
        <f>Insert!I32</f>
        <v>6</v>
      </c>
      <c r="AH32" s="15">
        <v>0</v>
      </c>
      <c r="AI32" s="15">
        <v>39</v>
      </c>
      <c r="AJ32" s="15">
        <v>0</v>
      </c>
      <c r="AK32" s="15">
        <v>0</v>
      </c>
      <c r="AL32" s="15">
        <v>12</v>
      </c>
      <c r="AM32" s="15">
        <v>12</v>
      </c>
      <c r="AN32" s="15">
        <v>2</v>
      </c>
      <c r="AO32" s="15" t="s">
        <v>104</v>
      </c>
      <c r="AP32" s="15"/>
      <c r="AQ32" s="15">
        <v>11</v>
      </c>
      <c r="AR32" s="15">
        <v>2</v>
      </c>
      <c r="AS32" s="15">
        <v>1</v>
      </c>
      <c r="AT32" s="15">
        <v>90</v>
      </c>
      <c r="AU32" s="15">
        <v>1</v>
      </c>
      <c r="AV32" s="15">
        <v>1</v>
      </c>
      <c r="AW32" s="15">
        <v>1</v>
      </c>
      <c r="AX32" s="15">
        <v>0</v>
      </c>
      <c r="AY32" s="15">
        <v>2</v>
      </c>
      <c r="AZ32" s="15" t="s">
        <v>105</v>
      </c>
      <c r="BA32" s="15"/>
      <c r="BB32" s="15" t="s">
        <v>106</v>
      </c>
      <c r="BC32" s="15" t="s">
        <v>107</v>
      </c>
      <c r="BD32" s="15">
        <v>2</v>
      </c>
      <c r="BE32" s="15">
        <v>1</v>
      </c>
      <c r="BF32" s="15">
        <v>0</v>
      </c>
      <c r="BG32" s="15">
        <v>-110</v>
      </c>
      <c r="BH32" s="15">
        <v>5</v>
      </c>
      <c r="BI32" s="15">
        <v>2</v>
      </c>
    </row>
    <row r="33" spans="1:61" ht="15.75" customHeight="1">
      <c r="A33" s="15" t="s">
        <v>98</v>
      </c>
      <c r="B33" s="16" t="s">
        <v>99</v>
      </c>
      <c r="C33" s="15"/>
      <c r="D33" s="15" t="str">
        <f>Insert!A33</f>
        <v>Silvus (4400 E L Band, 1W Power, 20MHz Bandwidth )</v>
      </c>
      <c r="E33" s="15" t="s">
        <v>100</v>
      </c>
      <c r="F33" s="15" t="s">
        <v>138</v>
      </c>
      <c r="G33" s="15">
        <v>1</v>
      </c>
      <c r="H33" s="15">
        <v>0</v>
      </c>
      <c r="I33" s="15" t="str">
        <f>Insert!C33&amp;Insert!D33</f>
        <v>Silvus4400 E</v>
      </c>
      <c r="J33" s="15" t="s">
        <v>102</v>
      </c>
      <c r="K33" s="15">
        <v>2</v>
      </c>
      <c r="L33" s="15">
        <v>1</v>
      </c>
      <c r="M33" s="15"/>
      <c r="N33" s="17">
        <v>50.789859999999997</v>
      </c>
      <c r="O33" s="17">
        <v>-1.107861</v>
      </c>
      <c r="P33" s="15">
        <v>5</v>
      </c>
      <c r="Q33" s="15">
        <f>Insert!F33</f>
        <v>1350</v>
      </c>
      <c r="R33" s="15">
        <f>Insert!G33</f>
        <v>1</v>
      </c>
      <c r="S33" s="15">
        <v>1.5</v>
      </c>
      <c r="T33" s="15" t="s">
        <v>103</v>
      </c>
      <c r="U33" s="15"/>
      <c r="V33" s="17">
        <v>50.786114385379904</v>
      </c>
      <c r="W33" s="17">
        <v>-1.1432767173634899</v>
      </c>
      <c r="X33" s="15">
        <v>1</v>
      </c>
      <c r="Y33" s="15">
        <v>2</v>
      </c>
      <c r="Z33" s="15">
        <v>10</v>
      </c>
      <c r="AA33" s="15"/>
      <c r="AB33" s="15">
        <v>1</v>
      </c>
      <c r="AC33" s="15">
        <v>0</v>
      </c>
      <c r="AD33" s="15">
        <v>0</v>
      </c>
      <c r="AE33" s="15"/>
      <c r="AF33" s="15" t="s">
        <v>39</v>
      </c>
      <c r="AG33" s="15">
        <f>Insert!I33</f>
        <v>6</v>
      </c>
      <c r="AH33" s="15">
        <v>0</v>
      </c>
      <c r="AI33" s="15">
        <v>39</v>
      </c>
      <c r="AJ33" s="15">
        <v>0</v>
      </c>
      <c r="AK33" s="15">
        <v>0</v>
      </c>
      <c r="AL33" s="15">
        <v>12</v>
      </c>
      <c r="AM33" s="15">
        <v>12</v>
      </c>
      <c r="AN33" s="15">
        <v>2</v>
      </c>
      <c r="AO33" s="15" t="s">
        <v>104</v>
      </c>
      <c r="AP33" s="15"/>
      <c r="AQ33" s="15">
        <v>11</v>
      </c>
      <c r="AR33" s="15">
        <v>2</v>
      </c>
      <c r="AS33" s="15">
        <v>1</v>
      </c>
      <c r="AT33" s="15">
        <v>90</v>
      </c>
      <c r="AU33" s="15">
        <v>1</v>
      </c>
      <c r="AV33" s="15">
        <v>1</v>
      </c>
      <c r="AW33" s="15">
        <v>1</v>
      </c>
      <c r="AX33" s="15">
        <v>0</v>
      </c>
      <c r="AY33" s="15">
        <v>2</v>
      </c>
      <c r="AZ33" s="15" t="s">
        <v>105</v>
      </c>
      <c r="BA33" s="15"/>
      <c r="BB33" s="15" t="s">
        <v>106</v>
      </c>
      <c r="BC33" s="15" t="s">
        <v>107</v>
      </c>
      <c r="BD33" s="15">
        <v>2</v>
      </c>
      <c r="BE33" s="15">
        <v>1</v>
      </c>
      <c r="BF33" s="15">
        <v>0</v>
      </c>
      <c r="BG33" s="15">
        <v>-110</v>
      </c>
      <c r="BH33" s="15">
        <v>5</v>
      </c>
      <c r="BI33" s="15">
        <v>2</v>
      </c>
    </row>
    <row r="34" spans="1:61" ht="15.75" customHeight="1">
      <c r="A34" s="15" t="s">
        <v>98</v>
      </c>
      <c r="B34" s="16" t="s">
        <v>99</v>
      </c>
      <c r="C34" s="15"/>
      <c r="D34" s="15" t="str">
        <f>Insert!A34</f>
        <v>Silvus (4400 E S Band, 1W Power, 20MHz Bandwidth )</v>
      </c>
      <c r="E34" s="15" t="s">
        <v>100</v>
      </c>
      <c r="F34" s="15" t="s">
        <v>139</v>
      </c>
      <c r="G34" s="15">
        <v>1</v>
      </c>
      <c r="H34" s="15">
        <v>0</v>
      </c>
      <c r="I34" s="15" t="str">
        <f>Insert!C34&amp;Insert!D34</f>
        <v>Silvus4400 E</v>
      </c>
      <c r="J34" s="15" t="s">
        <v>102</v>
      </c>
      <c r="K34" s="15">
        <v>2</v>
      </c>
      <c r="L34" s="15">
        <v>1</v>
      </c>
      <c r="M34" s="15"/>
      <c r="N34" s="17">
        <v>50.789859999999997</v>
      </c>
      <c r="O34" s="17">
        <v>-1.107861</v>
      </c>
      <c r="P34" s="15">
        <v>5</v>
      </c>
      <c r="Q34" s="15">
        <f>Insert!F34</f>
        <v>2200</v>
      </c>
      <c r="R34" s="15">
        <f>Insert!G34</f>
        <v>1</v>
      </c>
      <c r="S34" s="15">
        <v>1.5</v>
      </c>
      <c r="T34" s="15" t="s">
        <v>103</v>
      </c>
      <c r="U34" s="15"/>
      <c r="V34" s="17">
        <v>50.786114385379904</v>
      </c>
      <c r="W34" s="17">
        <v>-1.1432767173634899</v>
      </c>
      <c r="X34" s="15">
        <v>1</v>
      </c>
      <c r="Y34" s="15">
        <v>2</v>
      </c>
      <c r="Z34" s="15">
        <v>10</v>
      </c>
      <c r="AA34" s="15"/>
      <c r="AB34" s="15">
        <v>1</v>
      </c>
      <c r="AC34" s="15">
        <v>0</v>
      </c>
      <c r="AD34" s="15">
        <v>0</v>
      </c>
      <c r="AE34" s="15"/>
      <c r="AF34" s="15" t="s">
        <v>39</v>
      </c>
      <c r="AG34" s="15">
        <f>Insert!I34</f>
        <v>6</v>
      </c>
      <c r="AH34" s="15">
        <v>0</v>
      </c>
      <c r="AI34" s="15">
        <v>39</v>
      </c>
      <c r="AJ34" s="15">
        <v>0</v>
      </c>
      <c r="AK34" s="15">
        <v>0</v>
      </c>
      <c r="AL34" s="15">
        <v>12</v>
      </c>
      <c r="AM34" s="15">
        <v>12</v>
      </c>
      <c r="AN34" s="15">
        <v>2</v>
      </c>
      <c r="AO34" s="15" t="s">
        <v>104</v>
      </c>
      <c r="AP34" s="15"/>
      <c r="AQ34" s="15">
        <v>11</v>
      </c>
      <c r="AR34" s="15">
        <v>2</v>
      </c>
      <c r="AS34" s="15">
        <v>1</v>
      </c>
      <c r="AT34" s="15">
        <v>90</v>
      </c>
      <c r="AU34" s="15">
        <v>1</v>
      </c>
      <c r="AV34" s="15">
        <v>1</v>
      </c>
      <c r="AW34" s="15">
        <v>1</v>
      </c>
      <c r="AX34" s="15">
        <v>0</v>
      </c>
      <c r="AY34" s="15">
        <v>2</v>
      </c>
      <c r="AZ34" s="15" t="s">
        <v>105</v>
      </c>
      <c r="BA34" s="15"/>
      <c r="BB34" s="15" t="s">
        <v>106</v>
      </c>
      <c r="BC34" s="15" t="s">
        <v>107</v>
      </c>
      <c r="BD34" s="15">
        <v>2</v>
      </c>
      <c r="BE34" s="15">
        <v>1</v>
      </c>
      <c r="BF34" s="15">
        <v>0</v>
      </c>
      <c r="BG34" s="15">
        <v>-110</v>
      </c>
      <c r="BH34" s="15">
        <v>5</v>
      </c>
      <c r="BI34" s="15">
        <v>2</v>
      </c>
    </row>
    <row r="35" spans="1:61" ht="15.75" customHeight="1">
      <c r="A35" s="15" t="s">
        <v>98</v>
      </c>
      <c r="B35" s="16" t="s">
        <v>99</v>
      </c>
      <c r="C35" s="15"/>
      <c r="D35" s="15" t="str">
        <f>Insert!A35</f>
        <v>Silvus (4400 E UHF Band, 1W Power, 20MHz Bandwidth )</v>
      </c>
      <c r="E35" s="15" t="s">
        <v>100</v>
      </c>
      <c r="F35" s="15" t="s">
        <v>140</v>
      </c>
      <c r="G35" s="15">
        <v>1</v>
      </c>
      <c r="H35" s="15">
        <v>0</v>
      </c>
      <c r="I35" s="15" t="str">
        <f>Insert!C35&amp;Insert!D35</f>
        <v>Silvus4400 E</v>
      </c>
      <c r="J35" s="15" t="s">
        <v>102</v>
      </c>
      <c r="K35" s="15">
        <v>2</v>
      </c>
      <c r="L35" s="15">
        <v>1</v>
      </c>
      <c r="M35" s="15"/>
      <c r="N35" s="17">
        <v>50.789859999999997</v>
      </c>
      <c r="O35" s="17">
        <v>-1.107861</v>
      </c>
      <c r="P35" s="15">
        <v>5</v>
      </c>
      <c r="Q35" s="15">
        <f>Insert!F35</f>
        <v>420</v>
      </c>
      <c r="R35" s="15">
        <f>Insert!G35</f>
        <v>1</v>
      </c>
      <c r="S35" s="15">
        <v>1.5</v>
      </c>
      <c r="T35" s="15" t="s">
        <v>103</v>
      </c>
      <c r="U35" s="15"/>
      <c r="V35" s="17">
        <v>50.786114385379904</v>
      </c>
      <c r="W35" s="17">
        <v>-1.1432767173634899</v>
      </c>
      <c r="X35" s="15">
        <v>1</v>
      </c>
      <c r="Y35" s="15">
        <v>2</v>
      </c>
      <c r="Z35" s="15">
        <v>10</v>
      </c>
      <c r="AA35" s="15"/>
      <c r="AB35" s="15">
        <v>1</v>
      </c>
      <c r="AC35" s="15">
        <v>0</v>
      </c>
      <c r="AD35" s="15">
        <v>0</v>
      </c>
      <c r="AE35" s="15"/>
      <c r="AF35" s="15" t="s">
        <v>39</v>
      </c>
      <c r="AG35" s="15">
        <f>Insert!I35</f>
        <v>6</v>
      </c>
      <c r="AH35" s="15">
        <v>0</v>
      </c>
      <c r="AI35" s="15">
        <v>39</v>
      </c>
      <c r="AJ35" s="15">
        <v>0</v>
      </c>
      <c r="AK35" s="15">
        <v>0</v>
      </c>
      <c r="AL35" s="15">
        <v>12</v>
      </c>
      <c r="AM35" s="15">
        <v>12</v>
      </c>
      <c r="AN35" s="15">
        <v>2</v>
      </c>
      <c r="AO35" s="15" t="s">
        <v>104</v>
      </c>
      <c r="AP35" s="15"/>
      <c r="AQ35" s="15">
        <v>11</v>
      </c>
      <c r="AR35" s="15">
        <v>2</v>
      </c>
      <c r="AS35" s="15">
        <v>1</v>
      </c>
      <c r="AT35" s="15">
        <v>90</v>
      </c>
      <c r="AU35" s="15">
        <v>1</v>
      </c>
      <c r="AV35" s="15">
        <v>1</v>
      </c>
      <c r="AW35" s="15">
        <v>1</v>
      </c>
      <c r="AX35" s="15">
        <v>0</v>
      </c>
      <c r="AY35" s="15">
        <v>2</v>
      </c>
      <c r="AZ35" s="15" t="s">
        <v>105</v>
      </c>
      <c r="BA35" s="15"/>
      <c r="BB35" s="15" t="s">
        <v>106</v>
      </c>
      <c r="BC35" s="15" t="s">
        <v>107</v>
      </c>
      <c r="BD35" s="15">
        <v>2</v>
      </c>
      <c r="BE35" s="15">
        <v>1</v>
      </c>
      <c r="BF35" s="15">
        <v>0</v>
      </c>
      <c r="BG35" s="15">
        <v>-110</v>
      </c>
      <c r="BH35" s="15">
        <v>5</v>
      </c>
      <c r="BI35" s="15">
        <v>2</v>
      </c>
    </row>
    <row r="36" spans="1:61" ht="15.75" customHeight="1">
      <c r="A36" s="15" t="s">
        <v>98</v>
      </c>
      <c r="B36" s="16" t="s">
        <v>99</v>
      </c>
      <c r="C36" s="15"/>
      <c r="D36" s="15" t="str">
        <f>Insert!A36</f>
        <v>Silvus (4400 E L Band, 4W Power, 20MHz Bandwidth )</v>
      </c>
      <c r="E36" s="15" t="s">
        <v>100</v>
      </c>
      <c r="F36" s="15" t="s">
        <v>141</v>
      </c>
      <c r="G36" s="15">
        <v>1</v>
      </c>
      <c r="H36" s="15">
        <v>0</v>
      </c>
      <c r="I36" s="15" t="str">
        <f>Insert!C36&amp;Insert!D36</f>
        <v>Silvus4400 E</v>
      </c>
      <c r="J36" s="15" t="s">
        <v>102</v>
      </c>
      <c r="K36" s="15">
        <v>2</v>
      </c>
      <c r="L36" s="15">
        <v>1</v>
      </c>
      <c r="M36" s="15"/>
      <c r="N36" s="17">
        <v>50.789859999999997</v>
      </c>
      <c r="O36" s="17">
        <v>-1.107861</v>
      </c>
      <c r="P36" s="15">
        <v>5</v>
      </c>
      <c r="Q36" s="15">
        <f>Insert!F36</f>
        <v>1350</v>
      </c>
      <c r="R36" s="15">
        <f>Insert!G36</f>
        <v>4</v>
      </c>
      <c r="S36" s="15">
        <v>1.5</v>
      </c>
      <c r="T36" s="15" t="s">
        <v>103</v>
      </c>
      <c r="U36" s="15"/>
      <c r="V36" s="17">
        <v>50.786114385379904</v>
      </c>
      <c r="W36" s="17">
        <v>-1.1432767173634899</v>
      </c>
      <c r="X36" s="15">
        <v>1</v>
      </c>
      <c r="Y36" s="15">
        <v>2</v>
      </c>
      <c r="Z36" s="15">
        <v>10</v>
      </c>
      <c r="AA36" s="15"/>
      <c r="AB36" s="15">
        <v>1</v>
      </c>
      <c r="AC36" s="15">
        <v>0</v>
      </c>
      <c r="AD36" s="15">
        <v>0</v>
      </c>
      <c r="AE36" s="15"/>
      <c r="AF36" s="15" t="s">
        <v>39</v>
      </c>
      <c r="AG36" s="15">
        <f>Insert!I36</f>
        <v>6</v>
      </c>
      <c r="AH36" s="15">
        <v>0</v>
      </c>
      <c r="AI36" s="15">
        <v>39</v>
      </c>
      <c r="AJ36" s="15">
        <v>0</v>
      </c>
      <c r="AK36" s="15">
        <v>0</v>
      </c>
      <c r="AL36" s="15">
        <v>12</v>
      </c>
      <c r="AM36" s="15">
        <v>12</v>
      </c>
      <c r="AN36" s="15">
        <v>2</v>
      </c>
      <c r="AO36" s="15" t="s">
        <v>104</v>
      </c>
      <c r="AP36" s="15"/>
      <c r="AQ36" s="15">
        <v>11</v>
      </c>
      <c r="AR36" s="15">
        <v>2</v>
      </c>
      <c r="AS36" s="15">
        <v>1</v>
      </c>
      <c r="AT36" s="15">
        <v>90</v>
      </c>
      <c r="AU36" s="15">
        <v>1</v>
      </c>
      <c r="AV36" s="15">
        <v>1</v>
      </c>
      <c r="AW36" s="15">
        <v>1</v>
      </c>
      <c r="AX36" s="15">
        <v>0</v>
      </c>
      <c r="AY36" s="15">
        <v>2</v>
      </c>
      <c r="AZ36" s="15" t="s">
        <v>105</v>
      </c>
      <c r="BA36" s="15"/>
      <c r="BB36" s="15" t="s">
        <v>106</v>
      </c>
      <c r="BC36" s="15" t="s">
        <v>107</v>
      </c>
      <c r="BD36" s="15">
        <v>2</v>
      </c>
      <c r="BE36" s="15">
        <v>1</v>
      </c>
      <c r="BF36" s="15">
        <v>0</v>
      </c>
      <c r="BG36" s="15">
        <v>-110</v>
      </c>
      <c r="BH36" s="15">
        <v>5</v>
      </c>
      <c r="BI36" s="15">
        <v>2</v>
      </c>
    </row>
    <row r="37" spans="1:61" ht="15.75" customHeight="1">
      <c r="A37" s="15" t="s">
        <v>98</v>
      </c>
      <c r="B37" s="16" t="s">
        <v>99</v>
      </c>
      <c r="C37" s="15"/>
      <c r="D37" s="15" t="str">
        <f>Insert!A37</f>
        <v>Silvus (4400 E S Band, 4W Power, 20MHz Bandwidth )</v>
      </c>
      <c r="E37" s="15" t="s">
        <v>100</v>
      </c>
      <c r="F37" s="15" t="s">
        <v>142</v>
      </c>
      <c r="G37" s="15">
        <v>1</v>
      </c>
      <c r="H37" s="15">
        <v>0</v>
      </c>
      <c r="I37" s="15" t="str">
        <f>Insert!C37&amp;Insert!D37</f>
        <v>Silvus4400 E</v>
      </c>
      <c r="J37" s="15" t="s">
        <v>102</v>
      </c>
      <c r="K37" s="15">
        <v>2</v>
      </c>
      <c r="L37" s="15">
        <v>1</v>
      </c>
      <c r="M37" s="15"/>
      <c r="N37" s="17">
        <v>50.789859999999997</v>
      </c>
      <c r="O37" s="17">
        <v>-1.107861</v>
      </c>
      <c r="P37" s="15">
        <v>5</v>
      </c>
      <c r="Q37" s="15">
        <f>Insert!F37</f>
        <v>2200</v>
      </c>
      <c r="R37" s="15">
        <f>Insert!G37</f>
        <v>4</v>
      </c>
      <c r="S37" s="15">
        <v>1.5</v>
      </c>
      <c r="T37" s="15" t="s">
        <v>103</v>
      </c>
      <c r="U37" s="15"/>
      <c r="V37" s="17">
        <v>50.786114385379904</v>
      </c>
      <c r="W37" s="17">
        <v>-1.1432767173634899</v>
      </c>
      <c r="X37" s="15">
        <v>1</v>
      </c>
      <c r="Y37" s="15">
        <v>2</v>
      </c>
      <c r="Z37" s="15">
        <v>10</v>
      </c>
      <c r="AA37" s="15"/>
      <c r="AB37" s="15">
        <v>1</v>
      </c>
      <c r="AC37" s="15">
        <v>0</v>
      </c>
      <c r="AD37" s="15">
        <v>0</v>
      </c>
      <c r="AE37" s="15"/>
      <c r="AF37" s="15" t="s">
        <v>39</v>
      </c>
      <c r="AG37" s="15">
        <f>Insert!I37</f>
        <v>6</v>
      </c>
      <c r="AH37" s="15">
        <v>0</v>
      </c>
      <c r="AI37" s="15">
        <v>39</v>
      </c>
      <c r="AJ37" s="15">
        <v>0</v>
      </c>
      <c r="AK37" s="15">
        <v>0</v>
      </c>
      <c r="AL37" s="15">
        <v>12</v>
      </c>
      <c r="AM37" s="15">
        <v>12</v>
      </c>
      <c r="AN37" s="15">
        <v>2</v>
      </c>
      <c r="AO37" s="15" t="s">
        <v>104</v>
      </c>
      <c r="AP37" s="15"/>
      <c r="AQ37" s="15">
        <v>11</v>
      </c>
      <c r="AR37" s="15">
        <v>2</v>
      </c>
      <c r="AS37" s="15">
        <v>1</v>
      </c>
      <c r="AT37" s="15">
        <v>90</v>
      </c>
      <c r="AU37" s="15">
        <v>1</v>
      </c>
      <c r="AV37" s="15">
        <v>1</v>
      </c>
      <c r="AW37" s="15">
        <v>1</v>
      </c>
      <c r="AX37" s="15">
        <v>0</v>
      </c>
      <c r="AY37" s="15">
        <v>2</v>
      </c>
      <c r="AZ37" s="15" t="s">
        <v>105</v>
      </c>
      <c r="BA37" s="15"/>
      <c r="BB37" s="15" t="s">
        <v>106</v>
      </c>
      <c r="BC37" s="15" t="s">
        <v>107</v>
      </c>
      <c r="BD37" s="15">
        <v>2</v>
      </c>
      <c r="BE37" s="15">
        <v>1</v>
      </c>
      <c r="BF37" s="15">
        <v>0</v>
      </c>
      <c r="BG37" s="15">
        <v>-110</v>
      </c>
      <c r="BH37" s="15">
        <v>5</v>
      </c>
      <c r="BI37" s="15">
        <v>2</v>
      </c>
    </row>
    <row r="38" spans="1:61" ht="15.75" customHeight="1">
      <c r="A38" s="15" t="s">
        <v>98</v>
      </c>
      <c r="B38" s="16" t="s">
        <v>99</v>
      </c>
      <c r="C38" s="15"/>
      <c r="D38" s="15" t="str">
        <f>Insert!A38</f>
        <v>Silvus (4400 E UHF Band, 4W Power, 20MHz Bandwidth )</v>
      </c>
      <c r="E38" s="15" t="s">
        <v>100</v>
      </c>
      <c r="F38" s="15" t="s">
        <v>143</v>
      </c>
      <c r="G38" s="15">
        <v>1</v>
      </c>
      <c r="H38" s="15">
        <v>0</v>
      </c>
      <c r="I38" s="15" t="str">
        <f>Insert!C38&amp;Insert!D38</f>
        <v>Silvus4400 E</v>
      </c>
      <c r="J38" s="15" t="s">
        <v>102</v>
      </c>
      <c r="K38" s="15">
        <v>2</v>
      </c>
      <c r="L38" s="15">
        <v>1</v>
      </c>
      <c r="M38" s="15"/>
      <c r="N38" s="17">
        <v>50.789859999999997</v>
      </c>
      <c r="O38" s="17">
        <v>-1.107861</v>
      </c>
      <c r="P38" s="15">
        <v>5</v>
      </c>
      <c r="Q38" s="15">
        <f>Insert!F38</f>
        <v>420</v>
      </c>
      <c r="R38" s="15">
        <f>Insert!G38</f>
        <v>4</v>
      </c>
      <c r="S38" s="15">
        <v>1.5</v>
      </c>
      <c r="T38" s="15" t="s">
        <v>103</v>
      </c>
      <c r="U38" s="15"/>
      <c r="V38" s="17">
        <v>50.786114385379904</v>
      </c>
      <c r="W38" s="17">
        <v>-1.1432767173634899</v>
      </c>
      <c r="X38" s="15">
        <v>1</v>
      </c>
      <c r="Y38" s="15">
        <v>2</v>
      </c>
      <c r="Z38" s="15">
        <v>10</v>
      </c>
      <c r="AA38" s="15"/>
      <c r="AB38" s="15">
        <v>1</v>
      </c>
      <c r="AC38" s="15">
        <v>0</v>
      </c>
      <c r="AD38" s="15">
        <v>0</v>
      </c>
      <c r="AE38" s="15"/>
      <c r="AF38" s="15" t="s">
        <v>39</v>
      </c>
      <c r="AG38" s="15">
        <f>Insert!I38</f>
        <v>6</v>
      </c>
      <c r="AH38" s="15">
        <v>0</v>
      </c>
      <c r="AI38" s="15">
        <v>39</v>
      </c>
      <c r="AJ38" s="15">
        <v>0</v>
      </c>
      <c r="AK38" s="15">
        <v>0</v>
      </c>
      <c r="AL38" s="15">
        <v>12</v>
      </c>
      <c r="AM38" s="15">
        <v>12</v>
      </c>
      <c r="AN38" s="15">
        <v>2</v>
      </c>
      <c r="AO38" s="15" t="s">
        <v>104</v>
      </c>
      <c r="AP38" s="15"/>
      <c r="AQ38" s="15">
        <v>11</v>
      </c>
      <c r="AR38" s="15">
        <v>2</v>
      </c>
      <c r="AS38" s="15">
        <v>1</v>
      </c>
      <c r="AT38" s="15">
        <v>90</v>
      </c>
      <c r="AU38" s="15">
        <v>1</v>
      </c>
      <c r="AV38" s="15">
        <v>1</v>
      </c>
      <c r="AW38" s="15">
        <v>1</v>
      </c>
      <c r="AX38" s="15">
        <v>0</v>
      </c>
      <c r="AY38" s="15">
        <v>2</v>
      </c>
      <c r="AZ38" s="15" t="s">
        <v>105</v>
      </c>
      <c r="BA38" s="15"/>
      <c r="BB38" s="15" t="s">
        <v>106</v>
      </c>
      <c r="BC38" s="15" t="s">
        <v>107</v>
      </c>
      <c r="BD38" s="15">
        <v>2</v>
      </c>
      <c r="BE38" s="15">
        <v>1</v>
      </c>
      <c r="BF38" s="15">
        <v>0</v>
      </c>
      <c r="BG38" s="15">
        <v>-110</v>
      </c>
      <c r="BH38" s="15">
        <v>5</v>
      </c>
      <c r="BI38" s="15">
        <v>2</v>
      </c>
    </row>
    <row r="39" spans="1:61" ht="15.75" customHeight="1">
      <c r="A39" s="15" t="s">
        <v>98</v>
      </c>
      <c r="B39" s="16" t="s">
        <v>99</v>
      </c>
      <c r="C39" s="15"/>
      <c r="D39" s="15" t="str">
        <f>Insert!A39</f>
        <v>Silvus (4400 E L Band, 10W Power, 20MHz Bandwidth )</v>
      </c>
      <c r="E39" s="15" t="s">
        <v>100</v>
      </c>
      <c r="F39" s="15" t="s">
        <v>144</v>
      </c>
      <c r="G39" s="15">
        <v>1</v>
      </c>
      <c r="H39" s="15">
        <v>0</v>
      </c>
      <c r="I39" s="15" t="str">
        <f>Insert!C39&amp;Insert!D39</f>
        <v>Silvus4400 E</v>
      </c>
      <c r="J39" s="15" t="s">
        <v>102</v>
      </c>
      <c r="K39" s="15">
        <v>2</v>
      </c>
      <c r="L39" s="15">
        <v>1</v>
      </c>
      <c r="M39" s="15"/>
      <c r="N39" s="17">
        <v>50.789859999999997</v>
      </c>
      <c r="O39" s="17">
        <v>-1.107861</v>
      </c>
      <c r="P39" s="15">
        <v>5</v>
      </c>
      <c r="Q39" s="15">
        <f>Insert!F39</f>
        <v>1350</v>
      </c>
      <c r="R39" s="15">
        <f>Insert!G39</f>
        <v>10</v>
      </c>
      <c r="S39" s="15">
        <v>1.5</v>
      </c>
      <c r="T39" s="15" t="s">
        <v>103</v>
      </c>
      <c r="U39" s="15"/>
      <c r="V39" s="17">
        <v>50.786114385379904</v>
      </c>
      <c r="W39" s="17">
        <v>-1.1432767173634899</v>
      </c>
      <c r="X39" s="15">
        <v>1</v>
      </c>
      <c r="Y39" s="15">
        <v>2</v>
      </c>
      <c r="Z39" s="15">
        <v>10</v>
      </c>
      <c r="AA39" s="15"/>
      <c r="AB39" s="15">
        <v>1</v>
      </c>
      <c r="AC39" s="15">
        <v>0</v>
      </c>
      <c r="AD39" s="15">
        <v>0</v>
      </c>
      <c r="AE39" s="15"/>
      <c r="AF39" s="15" t="s">
        <v>39</v>
      </c>
      <c r="AG39" s="15">
        <f>Insert!I39</f>
        <v>6</v>
      </c>
      <c r="AH39" s="15">
        <v>0</v>
      </c>
      <c r="AI39" s="15">
        <v>39</v>
      </c>
      <c r="AJ39" s="15">
        <v>0</v>
      </c>
      <c r="AK39" s="15">
        <v>0</v>
      </c>
      <c r="AL39" s="15">
        <v>12</v>
      </c>
      <c r="AM39" s="15">
        <v>12</v>
      </c>
      <c r="AN39" s="15">
        <v>2</v>
      </c>
      <c r="AO39" s="15" t="s">
        <v>104</v>
      </c>
      <c r="AP39" s="15"/>
      <c r="AQ39" s="15">
        <v>11</v>
      </c>
      <c r="AR39" s="15">
        <v>2</v>
      </c>
      <c r="AS39" s="15">
        <v>1</v>
      </c>
      <c r="AT39" s="15">
        <v>90</v>
      </c>
      <c r="AU39" s="15">
        <v>1</v>
      </c>
      <c r="AV39" s="15">
        <v>1</v>
      </c>
      <c r="AW39" s="15">
        <v>1</v>
      </c>
      <c r="AX39" s="15">
        <v>0</v>
      </c>
      <c r="AY39" s="15">
        <v>2</v>
      </c>
      <c r="AZ39" s="15" t="s">
        <v>105</v>
      </c>
      <c r="BA39" s="15"/>
      <c r="BB39" s="15" t="s">
        <v>106</v>
      </c>
      <c r="BC39" s="15" t="s">
        <v>107</v>
      </c>
      <c r="BD39" s="15">
        <v>2</v>
      </c>
      <c r="BE39" s="15">
        <v>1</v>
      </c>
      <c r="BF39" s="15">
        <v>0</v>
      </c>
      <c r="BG39" s="15">
        <v>-110</v>
      </c>
      <c r="BH39" s="15">
        <v>5</v>
      </c>
      <c r="BI39" s="15">
        <v>2</v>
      </c>
    </row>
    <row r="40" spans="1:61" ht="15.75" customHeight="1">
      <c r="A40" s="15" t="s">
        <v>98</v>
      </c>
      <c r="B40" s="16" t="s">
        <v>99</v>
      </c>
      <c r="C40" s="15"/>
      <c r="D40" s="15" t="str">
        <f>Insert!A40</f>
        <v>Silvus (4400 E S Band, 10W Power, 20MHz Bandwidth )</v>
      </c>
      <c r="E40" s="15" t="s">
        <v>100</v>
      </c>
      <c r="F40" s="15" t="s">
        <v>145</v>
      </c>
      <c r="G40" s="15">
        <v>1</v>
      </c>
      <c r="H40" s="15">
        <v>0</v>
      </c>
      <c r="I40" s="15" t="str">
        <f>Insert!C40&amp;Insert!D40</f>
        <v>Silvus4400 E</v>
      </c>
      <c r="J40" s="15" t="s">
        <v>102</v>
      </c>
      <c r="K40" s="15">
        <v>2</v>
      </c>
      <c r="L40" s="15">
        <v>1</v>
      </c>
      <c r="M40" s="15"/>
      <c r="N40" s="17">
        <v>50.789859999999997</v>
      </c>
      <c r="O40" s="17">
        <v>-1.107861</v>
      </c>
      <c r="P40" s="15">
        <v>5</v>
      </c>
      <c r="Q40" s="15">
        <f>Insert!F40</f>
        <v>2200</v>
      </c>
      <c r="R40" s="15">
        <f>Insert!G40</f>
        <v>10</v>
      </c>
      <c r="S40" s="15">
        <v>1.5</v>
      </c>
      <c r="T40" s="15" t="s">
        <v>103</v>
      </c>
      <c r="U40" s="15"/>
      <c r="V40" s="17">
        <v>50.786114385379904</v>
      </c>
      <c r="W40" s="17">
        <v>-1.1432767173634899</v>
      </c>
      <c r="X40" s="15">
        <v>1</v>
      </c>
      <c r="Y40" s="15">
        <v>2</v>
      </c>
      <c r="Z40" s="15">
        <v>10</v>
      </c>
      <c r="AA40" s="15"/>
      <c r="AB40" s="15">
        <v>1</v>
      </c>
      <c r="AC40" s="15">
        <v>0</v>
      </c>
      <c r="AD40" s="15">
        <v>0</v>
      </c>
      <c r="AE40" s="15"/>
      <c r="AF40" s="15" t="s">
        <v>39</v>
      </c>
      <c r="AG40" s="15">
        <f>Insert!I40</f>
        <v>6</v>
      </c>
      <c r="AH40" s="15">
        <v>0</v>
      </c>
      <c r="AI40" s="15">
        <v>39</v>
      </c>
      <c r="AJ40" s="15">
        <v>0</v>
      </c>
      <c r="AK40" s="15">
        <v>0</v>
      </c>
      <c r="AL40" s="15">
        <v>12</v>
      </c>
      <c r="AM40" s="15">
        <v>12</v>
      </c>
      <c r="AN40" s="15">
        <v>2</v>
      </c>
      <c r="AO40" s="15" t="s">
        <v>104</v>
      </c>
      <c r="AP40" s="15"/>
      <c r="AQ40" s="15">
        <v>11</v>
      </c>
      <c r="AR40" s="15">
        <v>2</v>
      </c>
      <c r="AS40" s="15">
        <v>1</v>
      </c>
      <c r="AT40" s="15">
        <v>90</v>
      </c>
      <c r="AU40" s="15">
        <v>1</v>
      </c>
      <c r="AV40" s="15">
        <v>1</v>
      </c>
      <c r="AW40" s="15">
        <v>1</v>
      </c>
      <c r="AX40" s="15">
        <v>0</v>
      </c>
      <c r="AY40" s="15">
        <v>2</v>
      </c>
      <c r="AZ40" s="15" t="s">
        <v>105</v>
      </c>
      <c r="BA40" s="15"/>
      <c r="BB40" s="15" t="s">
        <v>106</v>
      </c>
      <c r="BC40" s="15" t="s">
        <v>107</v>
      </c>
      <c r="BD40" s="15">
        <v>2</v>
      </c>
      <c r="BE40" s="15">
        <v>1</v>
      </c>
      <c r="BF40" s="15">
        <v>0</v>
      </c>
      <c r="BG40" s="15">
        <v>-110</v>
      </c>
      <c r="BH40" s="15">
        <v>5</v>
      </c>
      <c r="BI40" s="15">
        <v>2</v>
      </c>
    </row>
    <row r="41" spans="1:61" ht="15.75" customHeight="1">
      <c r="A41" s="15" t="s">
        <v>98</v>
      </c>
      <c r="B41" s="16" t="s">
        <v>99</v>
      </c>
      <c r="C41" s="15"/>
      <c r="D41" s="15" t="str">
        <f>Insert!A41</f>
        <v>Silvus (4400 E UHF Band, 10W Power, 20MHz Bandwidth )</v>
      </c>
      <c r="E41" s="15" t="s">
        <v>100</v>
      </c>
      <c r="F41" s="15" t="s">
        <v>146</v>
      </c>
      <c r="G41" s="15">
        <v>1</v>
      </c>
      <c r="H41" s="15">
        <v>0</v>
      </c>
      <c r="I41" s="15" t="str">
        <f>Insert!C41&amp;Insert!D41</f>
        <v>Silvus4400 E</v>
      </c>
      <c r="J41" s="15" t="s">
        <v>102</v>
      </c>
      <c r="K41" s="15">
        <v>2</v>
      </c>
      <c r="L41" s="15">
        <v>1</v>
      </c>
      <c r="M41" s="15"/>
      <c r="N41" s="17">
        <v>50.789859999999997</v>
      </c>
      <c r="O41" s="17">
        <v>-1.107861</v>
      </c>
      <c r="P41" s="15">
        <v>5</v>
      </c>
      <c r="Q41" s="15">
        <f>Insert!F41</f>
        <v>420</v>
      </c>
      <c r="R41" s="15">
        <f>Insert!G41</f>
        <v>10</v>
      </c>
      <c r="S41" s="15">
        <v>1.5</v>
      </c>
      <c r="T41" s="15" t="s">
        <v>103</v>
      </c>
      <c r="U41" s="15"/>
      <c r="V41" s="17">
        <v>50.786114385379904</v>
      </c>
      <c r="W41" s="17">
        <v>-1.1432767173634899</v>
      </c>
      <c r="X41" s="15">
        <v>1</v>
      </c>
      <c r="Y41" s="15">
        <v>2</v>
      </c>
      <c r="Z41" s="15">
        <v>10</v>
      </c>
      <c r="AA41" s="15"/>
      <c r="AB41" s="15">
        <v>1</v>
      </c>
      <c r="AC41" s="15">
        <v>0</v>
      </c>
      <c r="AD41" s="15">
        <v>0</v>
      </c>
      <c r="AE41" s="15"/>
      <c r="AF41" s="15" t="s">
        <v>39</v>
      </c>
      <c r="AG41" s="15">
        <f>Insert!I41</f>
        <v>6</v>
      </c>
      <c r="AH41" s="15">
        <v>0</v>
      </c>
      <c r="AI41" s="15">
        <v>39</v>
      </c>
      <c r="AJ41" s="15">
        <v>0</v>
      </c>
      <c r="AK41" s="15">
        <v>0</v>
      </c>
      <c r="AL41" s="15">
        <v>12</v>
      </c>
      <c r="AM41" s="15">
        <v>12</v>
      </c>
      <c r="AN41" s="15">
        <v>2</v>
      </c>
      <c r="AO41" s="15" t="s">
        <v>104</v>
      </c>
      <c r="AP41" s="15"/>
      <c r="AQ41" s="15">
        <v>11</v>
      </c>
      <c r="AR41" s="15">
        <v>2</v>
      </c>
      <c r="AS41" s="15">
        <v>1</v>
      </c>
      <c r="AT41" s="15">
        <v>90</v>
      </c>
      <c r="AU41" s="15">
        <v>1</v>
      </c>
      <c r="AV41" s="15">
        <v>1</v>
      </c>
      <c r="AW41" s="15">
        <v>1</v>
      </c>
      <c r="AX41" s="15">
        <v>0</v>
      </c>
      <c r="AY41" s="15">
        <v>2</v>
      </c>
      <c r="AZ41" s="15" t="s">
        <v>105</v>
      </c>
      <c r="BA41" s="15"/>
      <c r="BB41" s="15" t="s">
        <v>106</v>
      </c>
      <c r="BC41" s="15" t="s">
        <v>107</v>
      </c>
      <c r="BD41" s="15">
        <v>2</v>
      </c>
      <c r="BE41" s="15">
        <v>1</v>
      </c>
      <c r="BF41" s="15">
        <v>0</v>
      </c>
      <c r="BG41" s="15">
        <v>-110</v>
      </c>
      <c r="BH41" s="15">
        <v>5</v>
      </c>
      <c r="BI41" s="15">
        <v>2</v>
      </c>
    </row>
    <row r="42" spans="1:61" ht="15.75" customHeight="1">
      <c r="A42" s="15" t="s">
        <v>98</v>
      </c>
      <c r="B42" s="16" t="s">
        <v>99</v>
      </c>
      <c r="C42" s="15"/>
      <c r="D42" s="15" t="str">
        <f>Insert!A42</f>
        <v>KW (TS-890S HF Band, 5W Power, 1.6MHz Bandwidth )</v>
      </c>
      <c r="E42" s="15" t="s">
        <v>100</v>
      </c>
      <c r="F42" s="15" t="s">
        <v>147</v>
      </c>
      <c r="G42" s="15">
        <v>1</v>
      </c>
      <c r="H42" s="15">
        <v>0</v>
      </c>
      <c r="I42" s="15" t="str">
        <f>Insert!C42&amp;Insert!D42</f>
        <v>KWTS-890S</v>
      </c>
      <c r="J42" s="15" t="s">
        <v>102</v>
      </c>
      <c r="K42" s="15">
        <v>2</v>
      </c>
      <c r="L42" s="15">
        <v>1</v>
      </c>
      <c r="M42" s="15"/>
      <c r="N42" s="17">
        <v>50.789859999999997</v>
      </c>
      <c r="O42" s="17">
        <v>-1.107861</v>
      </c>
      <c r="P42" s="15">
        <v>5</v>
      </c>
      <c r="Q42" s="15">
        <f>Insert!F42</f>
        <v>5.35</v>
      </c>
      <c r="R42" s="15">
        <f>Insert!G42</f>
        <v>5</v>
      </c>
      <c r="S42" s="15">
        <v>1.5</v>
      </c>
      <c r="T42" s="15" t="s">
        <v>103</v>
      </c>
      <c r="U42" s="15"/>
      <c r="V42" s="17">
        <v>50.786114385379904</v>
      </c>
      <c r="W42" s="17">
        <v>-1.1432767173634899</v>
      </c>
      <c r="X42" s="15">
        <v>1</v>
      </c>
      <c r="Y42" s="15">
        <v>2</v>
      </c>
      <c r="Z42" s="15">
        <v>10</v>
      </c>
      <c r="AA42" s="15"/>
      <c r="AB42" s="15">
        <v>1</v>
      </c>
      <c r="AC42" s="15">
        <v>0</v>
      </c>
      <c r="AD42" s="15">
        <v>0</v>
      </c>
      <c r="AE42" s="15"/>
      <c r="AF42" s="15" t="s">
        <v>39</v>
      </c>
      <c r="AG42" s="15">
        <f>Insert!I42</f>
        <v>0</v>
      </c>
      <c r="AH42" s="15">
        <v>0</v>
      </c>
      <c r="AI42" s="15">
        <v>39</v>
      </c>
      <c r="AJ42" s="15">
        <v>0</v>
      </c>
      <c r="AK42" s="15">
        <v>0</v>
      </c>
      <c r="AL42" s="15">
        <v>12</v>
      </c>
      <c r="AM42" s="15">
        <v>12</v>
      </c>
      <c r="AN42" s="15">
        <v>2</v>
      </c>
      <c r="AO42" s="15" t="s">
        <v>104</v>
      </c>
      <c r="AP42" s="15"/>
      <c r="AQ42" s="15">
        <v>11</v>
      </c>
      <c r="AR42" s="15">
        <v>2</v>
      </c>
      <c r="AS42" s="15">
        <v>1</v>
      </c>
      <c r="AT42" s="15">
        <v>90</v>
      </c>
      <c r="AU42" s="15">
        <v>1</v>
      </c>
      <c r="AV42" s="15">
        <v>1</v>
      </c>
      <c r="AW42" s="15">
        <v>1</v>
      </c>
      <c r="AX42" s="15">
        <v>0</v>
      </c>
      <c r="AY42" s="15">
        <v>2</v>
      </c>
      <c r="AZ42" s="15" t="s">
        <v>105</v>
      </c>
      <c r="BA42" s="15"/>
      <c r="BB42" s="15" t="s">
        <v>106</v>
      </c>
      <c r="BC42" s="15" t="s">
        <v>107</v>
      </c>
      <c r="BD42" s="15">
        <v>2</v>
      </c>
      <c r="BE42" s="15">
        <v>1</v>
      </c>
      <c r="BF42" s="15">
        <v>0</v>
      </c>
      <c r="BG42" s="15">
        <v>-110</v>
      </c>
      <c r="BH42" s="15">
        <v>5</v>
      </c>
      <c r="BI42" s="15">
        <v>2</v>
      </c>
    </row>
    <row r="43" spans="1:61" ht="15.75" customHeight="1">
      <c r="A43" s="15" t="s">
        <v>98</v>
      </c>
      <c r="B43" s="16" t="s">
        <v>99</v>
      </c>
      <c r="C43" s="15"/>
      <c r="D43" s="15" t="str">
        <f>Insert!A43</f>
        <v>KW (TS-890S HF Band, 100W Power, 1.6MHz Bandwidth )</v>
      </c>
      <c r="E43" s="15" t="s">
        <v>100</v>
      </c>
      <c r="F43" s="15" t="s">
        <v>148</v>
      </c>
      <c r="G43" s="15">
        <v>1</v>
      </c>
      <c r="H43" s="15">
        <v>0</v>
      </c>
      <c r="I43" s="15" t="str">
        <f>Insert!C43&amp;Insert!D43</f>
        <v>KWTS-890S</v>
      </c>
      <c r="J43" s="15" t="s">
        <v>102</v>
      </c>
      <c r="K43" s="15">
        <v>2</v>
      </c>
      <c r="L43" s="15">
        <v>1</v>
      </c>
      <c r="M43" s="15"/>
      <c r="N43" s="17">
        <v>50.789859999999997</v>
      </c>
      <c r="O43" s="17">
        <v>-1.107861</v>
      </c>
      <c r="P43" s="15">
        <v>5</v>
      </c>
      <c r="Q43" s="15">
        <f>Insert!F43</f>
        <v>5.35</v>
      </c>
      <c r="R43" s="15">
        <f>Insert!G43</f>
        <v>100</v>
      </c>
      <c r="S43" s="15">
        <v>1.5</v>
      </c>
      <c r="T43" s="15" t="s">
        <v>103</v>
      </c>
      <c r="U43" s="15"/>
      <c r="V43" s="17">
        <v>50.786114385379904</v>
      </c>
      <c r="W43" s="17">
        <v>-1.1432767173634899</v>
      </c>
      <c r="X43" s="15">
        <v>1</v>
      </c>
      <c r="Y43" s="15">
        <v>2</v>
      </c>
      <c r="Z43" s="15">
        <v>10</v>
      </c>
      <c r="AA43" s="15"/>
      <c r="AB43" s="15">
        <v>1</v>
      </c>
      <c r="AC43" s="15">
        <v>0</v>
      </c>
      <c r="AD43" s="15">
        <v>0</v>
      </c>
      <c r="AE43" s="15"/>
      <c r="AF43" s="15" t="s">
        <v>39</v>
      </c>
      <c r="AG43" s="15">
        <f>Insert!I43</f>
        <v>0</v>
      </c>
      <c r="AH43" s="15">
        <v>0</v>
      </c>
      <c r="AI43" s="15">
        <v>39</v>
      </c>
      <c r="AJ43" s="15">
        <v>0</v>
      </c>
      <c r="AK43" s="15">
        <v>0</v>
      </c>
      <c r="AL43" s="15">
        <v>12</v>
      </c>
      <c r="AM43" s="15">
        <v>12</v>
      </c>
      <c r="AN43" s="15">
        <v>2</v>
      </c>
      <c r="AO43" s="15" t="s">
        <v>104</v>
      </c>
      <c r="AP43" s="15"/>
      <c r="AQ43" s="15">
        <v>11</v>
      </c>
      <c r="AR43" s="15">
        <v>2</v>
      </c>
      <c r="AS43" s="15">
        <v>1</v>
      </c>
      <c r="AT43" s="15">
        <v>90</v>
      </c>
      <c r="AU43" s="15">
        <v>1</v>
      </c>
      <c r="AV43" s="15">
        <v>1</v>
      </c>
      <c r="AW43" s="15">
        <v>1</v>
      </c>
      <c r="AX43" s="15">
        <v>0</v>
      </c>
      <c r="AY43" s="15">
        <v>2</v>
      </c>
      <c r="AZ43" s="15" t="s">
        <v>105</v>
      </c>
      <c r="BA43" s="15"/>
      <c r="BB43" s="15" t="s">
        <v>106</v>
      </c>
      <c r="BC43" s="15" t="s">
        <v>107</v>
      </c>
      <c r="BD43" s="15">
        <v>2</v>
      </c>
      <c r="BE43" s="15">
        <v>1</v>
      </c>
      <c r="BF43" s="15">
        <v>0</v>
      </c>
      <c r="BG43" s="15">
        <v>-110</v>
      </c>
      <c r="BH43" s="15">
        <v>5</v>
      </c>
      <c r="BI43" s="15">
        <v>2</v>
      </c>
    </row>
    <row r="44" spans="1:61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7"/>
      <c r="O44" s="17"/>
      <c r="P44" s="15"/>
      <c r="Q44" s="15"/>
      <c r="R44" s="15"/>
      <c r="S44" s="15"/>
      <c r="T44" s="15"/>
      <c r="U44" s="15"/>
      <c r="V44" s="17"/>
      <c r="W44" s="17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</row>
    <row r="45" spans="1:61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7"/>
      <c r="O45" s="17"/>
      <c r="P45" s="15"/>
      <c r="Q45" s="15"/>
      <c r="R45" s="15"/>
      <c r="S45" s="15"/>
      <c r="T45" s="15"/>
      <c r="U45" s="15"/>
      <c r="V45" s="17"/>
      <c r="W45" s="17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</row>
    <row r="46" spans="1:61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7"/>
      <c r="O46" s="17"/>
      <c r="P46" s="15"/>
      <c r="Q46" s="15"/>
      <c r="R46" s="15"/>
      <c r="S46" s="15"/>
      <c r="T46" s="15"/>
      <c r="U46" s="15"/>
      <c r="V46" s="17"/>
      <c r="W46" s="17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</row>
    <row r="47" spans="1:61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7"/>
      <c r="O47" s="17"/>
      <c r="P47" s="15"/>
      <c r="Q47" s="15"/>
      <c r="R47" s="15"/>
      <c r="S47" s="15"/>
      <c r="T47" s="15"/>
      <c r="U47" s="15"/>
      <c r="V47" s="17"/>
      <c r="W47" s="17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</row>
    <row r="48" spans="1:61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7"/>
      <c r="O48" s="17"/>
      <c r="P48" s="15"/>
      <c r="Q48" s="15"/>
      <c r="R48" s="15"/>
      <c r="S48" s="15"/>
      <c r="T48" s="15"/>
      <c r="U48" s="15"/>
      <c r="V48" s="17"/>
      <c r="W48" s="17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</row>
    <row r="49" spans="1:61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7"/>
      <c r="O49" s="17"/>
      <c r="P49" s="15"/>
      <c r="Q49" s="15"/>
      <c r="R49" s="15"/>
      <c r="S49" s="15"/>
      <c r="T49" s="15"/>
      <c r="U49" s="15"/>
      <c r="V49" s="17"/>
      <c r="W49" s="17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</row>
    <row r="50" spans="1:61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7"/>
      <c r="O50" s="17"/>
      <c r="P50" s="15"/>
      <c r="Q50" s="15"/>
      <c r="R50" s="15"/>
      <c r="S50" s="15"/>
      <c r="T50" s="15"/>
      <c r="U50" s="15"/>
      <c r="V50" s="17"/>
      <c r="W50" s="17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</row>
    <row r="51" spans="1:6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7"/>
      <c r="O51" s="17"/>
      <c r="P51" s="15"/>
      <c r="Q51" s="15"/>
      <c r="R51" s="15"/>
      <c r="S51" s="15"/>
      <c r="T51" s="15"/>
      <c r="U51" s="15"/>
      <c r="V51" s="17"/>
      <c r="W51" s="17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</row>
    <row r="52" spans="1:61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7"/>
      <c r="O52" s="17"/>
      <c r="P52" s="15"/>
      <c r="Q52" s="15"/>
      <c r="R52" s="15"/>
      <c r="S52" s="15"/>
      <c r="T52" s="15"/>
      <c r="U52" s="15"/>
      <c r="V52" s="17"/>
      <c r="W52" s="17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</row>
    <row r="53" spans="1:61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7"/>
      <c r="O53" s="17"/>
      <c r="P53" s="15"/>
      <c r="Q53" s="15"/>
      <c r="R53" s="15"/>
      <c r="S53" s="15"/>
      <c r="T53" s="15"/>
      <c r="U53" s="15"/>
      <c r="V53" s="17"/>
      <c r="W53" s="17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</row>
    <row r="54" spans="1:61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7"/>
      <c r="O54" s="17"/>
      <c r="P54" s="15"/>
      <c r="Q54" s="15"/>
      <c r="R54" s="15"/>
      <c r="S54" s="15"/>
      <c r="T54" s="15"/>
      <c r="U54" s="15"/>
      <c r="V54" s="17"/>
      <c r="W54" s="17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</row>
    <row r="55" spans="1:61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7"/>
      <c r="O55" s="17"/>
      <c r="P55" s="15"/>
      <c r="Q55" s="15"/>
      <c r="R55" s="15"/>
      <c r="S55" s="15"/>
      <c r="T55" s="15"/>
      <c r="U55" s="15"/>
      <c r="V55" s="17"/>
      <c r="W55" s="17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</row>
    <row r="56" spans="1:61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7"/>
      <c r="O56" s="17"/>
      <c r="P56" s="15"/>
      <c r="Q56" s="15"/>
      <c r="R56" s="15"/>
      <c r="S56" s="15"/>
      <c r="T56" s="15"/>
      <c r="U56" s="15"/>
      <c r="V56" s="17"/>
      <c r="W56" s="17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</row>
    <row r="57" spans="1:61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7"/>
      <c r="O57" s="17"/>
      <c r="P57" s="15"/>
      <c r="Q57" s="15"/>
      <c r="R57" s="15"/>
      <c r="S57" s="15"/>
      <c r="T57" s="15"/>
      <c r="U57" s="15"/>
      <c r="V57" s="17"/>
      <c r="W57" s="17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</row>
    <row r="58" spans="1:61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7"/>
      <c r="O58" s="17"/>
      <c r="P58" s="15"/>
      <c r="Q58" s="15"/>
      <c r="R58" s="15"/>
      <c r="S58" s="15"/>
      <c r="T58" s="15"/>
      <c r="U58" s="15"/>
      <c r="V58" s="17"/>
      <c r="W58" s="17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</row>
    <row r="59" spans="1:61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7"/>
      <c r="O59" s="17"/>
      <c r="P59" s="15"/>
      <c r="Q59" s="15"/>
      <c r="R59" s="15"/>
      <c r="S59" s="15"/>
      <c r="T59" s="15"/>
      <c r="U59" s="15"/>
      <c r="V59" s="17"/>
      <c r="W59" s="17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</row>
    <row r="60" spans="1:61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7"/>
      <c r="O60" s="17"/>
      <c r="P60" s="15"/>
      <c r="Q60" s="15"/>
      <c r="R60" s="15"/>
      <c r="S60" s="15"/>
      <c r="T60" s="15"/>
      <c r="U60" s="15"/>
      <c r="V60" s="17"/>
      <c r="W60" s="17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</row>
    <row r="61" spans="1: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7"/>
      <c r="O61" s="17"/>
      <c r="P61" s="15"/>
      <c r="Q61" s="15"/>
      <c r="R61" s="15"/>
      <c r="S61" s="15"/>
      <c r="T61" s="15"/>
      <c r="U61" s="15"/>
      <c r="V61" s="17"/>
      <c r="W61" s="17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</row>
    <row r="62" spans="1:61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7"/>
      <c r="O62" s="17"/>
      <c r="P62" s="15"/>
      <c r="Q62" s="15"/>
      <c r="R62" s="15"/>
      <c r="S62" s="15"/>
      <c r="T62" s="15"/>
      <c r="U62" s="15"/>
      <c r="V62" s="17"/>
      <c r="W62" s="17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</row>
    <row r="63" spans="1:61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7"/>
      <c r="O63" s="17"/>
      <c r="P63" s="15"/>
      <c r="Q63" s="15"/>
      <c r="R63" s="15"/>
      <c r="S63" s="15"/>
      <c r="T63" s="15"/>
      <c r="U63" s="15"/>
      <c r="V63" s="17"/>
      <c r="W63" s="17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</row>
    <row r="64" spans="1:61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7"/>
      <c r="O64" s="17"/>
      <c r="P64" s="15"/>
      <c r="Q64" s="15"/>
      <c r="R64" s="15"/>
      <c r="S64" s="15"/>
      <c r="T64" s="15"/>
      <c r="U64" s="15"/>
      <c r="V64" s="17"/>
      <c r="W64" s="17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</row>
    <row r="65" spans="1:61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7"/>
      <c r="O65" s="17"/>
      <c r="P65" s="15"/>
      <c r="Q65" s="15"/>
      <c r="R65" s="15"/>
      <c r="S65" s="15"/>
      <c r="T65" s="15"/>
      <c r="U65" s="15"/>
      <c r="V65" s="17"/>
      <c r="W65" s="17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</row>
    <row r="66" spans="1:61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7"/>
      <c r="O66" s="17"/>
      <c r="P66" s="15"/>
      <c r="Q66" s="15"/>
      <c r="R66" s="15"/>
      <c r="S66" s="15"/>
      <c r="T66" s="15"/>
      <c r="U66" s="15"/>
      <c r="V66" s="17"/>
      <c r="W66" s="17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</row>
    <row r="67" spans="1:61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7"/>
      <c r="O67" s="17"/>
      <c r="P67" s="15"/>
      <c r="Q67" s="15"/>
      <c r="R67" s="15"/>
      <c r="S67" s="15"/>
      <c r="T67" s="15"/>
      <c r="U67" s="15"/>
      <c r="V67" s="17"/>
      <c r="W67" s="17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</row>
    <row r="68" spans="1:61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7"/>
      <c r="O68" s="17"/>
      <c r="P68" s="15"/>
      <c r="Q68" s="15"/>
      <c r="R68" s="15"/>
      <c r="S68" s="15"/>
      <c r="T68" s="15"/>
      <c r="U68" s="15"/>
      <c r="V68" s="17"/>
      <c r="W68" s="17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</row>
    <row r="69" spans="1:61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7"/>
      <c r="O69" s="17"/>
      <c r="P69" s="15"/>
      <c r="Q69" s="15"/>
      <c r="R69" s="15"/>
      <c r="S69" s="15"/>
      <c r="T69" s="15"/>
      <c r="U69" s="15"/>
      <c r="V69" s="17"/>
      <c r="W69" s="17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</row>
    <row r="70" spans="1:61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7"/>
      <c r="O70" s="17"/>
      <c r="P70" s="15"/>
      <c r="Q70" s="15"/>
      <c r="R70" s="15"/>
      <c r="S70" s="15"/>
      <c r="T70" s="15"/>
      <c r="U70" s="15"/>
      <c r="V70" s="17"/>
      <c r="W70" s="17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</row>
    <row r="71" spans="1:6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7"/>
      <c r="O71" s="17"/>
      <c r="P71" s="15"/>
      <c r="Q71" s="15"/>
      <c r="R71" s="15"/>
      <c r="S71" s="15"/>
      <c r="T71" s="15"/>
      <c r="U71" s="15"/>
      <c r="V71" s="17"/>
      <c r="W71" s="17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</row>
    <row r="72" spans="1:61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7"/>
      <c r="O72" s="17"/>
      <c r="P72" s="15"/>
      <c r="Q72" s="15"/>
      <c r="R72" s="15"/>
      <c r="S72" s="15"/>
      <c r="T72" s="15"/>
      <c r="U72" s="15"/>
      <c r="V72" s="17"/>
      <c r="W72" s="17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</row>
    <row r="73" spans="1:61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7"/>
      <c r="O73" s="17"/>
      <c r="P73" s="15"/>
      <c r="Q73" s="15"/>
      <c r="R73" s="15"/>
      <c r="S73" s="15"/>
      <c r="T73" s="15"/>
      <c r="U73" s="15"/>
      <c r="V73" s="17"/>
      <c r="W73" s="17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</row>
    <row r="74" spans="1:61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7"/>
      <c r="O74" s="17"/>
      <c r="P74" s="15"/>
      <c r="Q74" s="15"/>
      <c r="R74" s="15"/>
      <c r="S74" s="15"/>
      <c r="T74" s="15"/>
      <c r="U74" s="15"/>
      <c r="V74" s="17"/>
      <c r="W74" s="17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</row>
    <row r="75" spans="1:61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7"/>
      <c r="O75" s="17"/>
      <c r="P75" s="15"/>
      <c r="Q75" s="15"/>
      <c r="R75" s="15"/>
      <c r="S75" s="15"/>
      <c r="T75" s="15"/>
      <c r="U75" s="15"/>
      <c r="V75" s="17"/>
      <c r="W75" s="17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</row>
    <row r="76" spans="1:61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7"/>
      <c r="O76" s="17"/>
      <c r="P76" s="15"/>
      <c r="Q76" s="15"/>
      <c r="R76" s="15"/>
      <c r="S76" s="15"/>
      <c r="T76" s="15"/>
      <c r="U76" s="15"/>
      <c r="V76" s="17"/>
      <c r="W76" s="17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</row>
    <row r="77" spans="1:61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7"/>
      <c r="O77" s="17"/>
      <c r="P77" s="15"/>
      <c r="Q77" s="15"/>
      <c r="R77" s="15"/>
      <c r="S77" s="15"/>
      <c r="T77" s="15"/>
      <c r="U77" s="15"/>
      <c r="V77" s="17"/>
      <c r="W77" s="17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</row>
    <row r="78" spans="1:61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7"/>
      <c r="O78" s="17"/>
      <c r="P78" s="15"/>
      <c r="Q78" s="15"/>
      <c r="R78" s="15"/>
      <c r="S78" s="15"/>
      <c r="T78" s="15"/>
      <c r="U78" s="15"/>
      <c r="V78" s="17"/>
      <c r="W78" s="17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</row>
    <row r="79" spans="1:61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7"/>
      <c r="O79" s="17"/>
      <c r="P79" s="15"/>
      <c r="Q79" s="15"/>
      <c r="R79" s="15"/>
      <c r="S79" s="15"/>
      <c r="T79" s="15"/>
      <c r="U79" s="15"/>
      <c r="V79" s="17"/>
      <c r="W79" s="17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</row>
    <row r="80" spans="1:61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7"/>
      <c r="O80" s="17"/>
      <c r="P80" s="15"/>
      <c r="Q80" s="15"/>
      <c r="R80" s="15"/>
      <c r="S80" s="15"/>
      <c r="T80" s="15"/>
      <c r="U80" s="15"/>
      <c r="V80" s="17"/>
      <c r="W80" s="17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</row>
    <row r="81" spans="1:6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7"/>
      <c r="O81" s="17"/>
      <c r="P81" s="15"/>
      <c r="Q81" s="15"/>
      <c r="R81" s="15"/>
      <c r="S81" s="15"/>
      <c r="T81" s="15"/>
      <c r="U81" s="15"/>
      <c r="V81" s="17"/>
      <c r="W81" s="17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</row>
    <row r="82" spans="1:61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7"/>
      <c r="O82" s="17"/>
      <c r="P82" s="15"/>
      <c r="Q82" s="15"/>
      <c r="R82" s="15"/>
      <c r="S82" s="15"/>
      <c r="T82" s="15"/>
      <c r="U82" s="15"/>
      <c r="V82" s="17"/>
      <c r="W82" s="17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</row>
    <row r="83" spans="1:61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7"/>
      <c r="O83" s="17"/>
      <c r="P83" s="15"/>
      <c r="Q83" s="15"/>
      <c r="R83" s="15"/>
      <c r="S83" s="15"/>
      <c r="T83" s="15"/>
      <c r="U83" s="15"/>
      <c r="V83" s="17"/>
      <c r="W83" s="17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</row>
    <row r="84" spans="1:61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7"/>
      <c r="O84" s="17"/>
      <c r="P84" s="15"/>
      <c r="Q84" s="15"/>
      <c r="R84" s="15"/>
      <c r="S84" s="15"/>
      <c r="T84" s="15"/>
      <c r="U84" s="15"/>
      <c r="V84" s="17"/>
      <c r="W84" s="17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</row>
    <row r="85" spans="1:61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7"/>
      <c r="O85" s="17"/>
      <c r="P85" s="15"/>
      <c r="Q85" s="15"/>
      <c r="R85" s="15"/>
      <c r="S85" s="15"/>
      <c r="T85" s="15"/>
      <c r="U85" s="15"/>
      <c r="V85" s="17"/>
      <c r="W85" s="17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</row>
    <row r="86" spans="1:61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7"/>
      <c r="O86" s="17"/>
      <c r="P86" s="15"/>
      <c r="Q86" s="15"/>
      <c r="R86" s="15"/>
      <c r="S86" s="15"/>
      <c r="T86" s="15"/>
      <c r="U86" s="15"/>
      <c r="V86" s="17"/>
      <c r="W86" s="17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</row>
    <row r="87" spans="1:61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7"/>
      <c r="O87" s="17"/>
      <c r="P87" s="15"/>
      <c r="Q87" s="15"/>
      <c r="R87" s="15"/>
      <c r="S87" s="15"/>
      <c r="T87" s="15"/>
      <c r="U87" s="15"/>
      <c r="V87" s="17"/>
      <c r="W87" s="17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</row>
    <row r="88" spans="1:61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7"/>
      <c r="O88" s="17"/>
      <c r="P88" s="15"/>
      <c r="Q88" s="15"/>
      <c r="R88" s="15"/>
      <c r="S88" s="15"/>
      <c r="T88" s="15"/>
      <c r="U88" s="15"/>
      <c r="V88" s="17"/>
      <c r="W88" s="17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</row>
    <row r="89" spans="1:61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7"/>
      <c r="O89" s="17"/>
      <c r="P89" s="15"/>
      <c r="Q89" s="15"/>
      <c r="R89" s="15"/>
      <c r="S89" s="15"/>
      <c r="T89" s="15"/>
      <c r="U89" s="15"/>
      <c r="V89" s="17"/>
      <c r="W89" s="17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</row>
    <row r="90" spans="1:61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7"/>
      <c r="O90" s="17"/>
      <c r="P90" s="15"/>
      <c r="Q90" s="15"/>
      <c r="R90" s="15"/>
      <c r="S90" s="15"/>
      <c r="T90" s="15"/>
      <c r="U90" s="15"/>
      <c r="V90" s="17"/>
      <c r="W90" s="17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</row>
    <row r="91" spans="1:6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7"/>
      <c r="O91" s="17"/>
      <c r="P91" s="15"/>
      <c r="Q91" s="15"/>
      <c r="R91" s="15"/>
      <c r="S91" s="15"/>
      <c r="T91" s="15"/>
      <c r="U91" s="15"/>
      <c r="V91" s="17"/>
      <c r="W91" s="17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</row>
    <row r="92" spans="1:61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7"/>
      <c r="O92" s="17"/>
      <c r="P92" s="15"/>
      <c r="Q92" s="15"/>
      <c r="R92" s="15"/>
      <c r="S92" s="15"/>
      <c r="T92" s="15"/>
      <c r="U92" s="15"/>
      <c r="V92" s="17"/>
      <c r="W92" s="17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</row>
    <row r="93" spans="1:61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7"/>
      <c r="O93" s="17"/>
      <c r="P93" s="15"/>
      <c r="Q93" s="15"/>
      <c r="R93" s="15"/>
      <c r="S93" s="15"/>
      <c r="T93" s="15"/>
      <c r="U93" s="15"/>
      <c r="V93" s="17"/>
      <c r="W93" s="17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</row>
    <row r="94" spans="1:61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7"/>
      <c r="O94" s="17"/>
      <c r="P94" s="15"/>
      <c r="Q94" s="15"/>
      <c r="R94" s="15"/>
      <c r="S94" s="15"/>
      <c r="T94" s="15"/>
      <c r="U94" s="15"/>
      <c r="V94" s="17"/>
      <c r="W94" s="17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</row>
    <row r="95" spans="1:61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7"/>
      <c r="O95" s="17"/>
      <c r="P95" s="15"/>
      <c r="Q95" s="15"/>
      <c r="R95" s="15"/>
      <c r="S95" s="15"/>
      <c r="T95" s="15"/>
      <c r="U95" s="15"/>
      <c r="V95" s="17"/>
      <c r="W95" s="17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</row>
    <row r="96" spans="1:61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7"/>
      <c r="O96" s="17"/>
      <c r="P96" s="15"/>
      <c r="Q96" s="15"/>
      <c r="R96" s="15"/>
      <c r="S96" s="15"/>
      <c r="T96" s="15"/>
      <c r="U96" s="15"/>
      <c r="V96" s="17"/>
      <c r="W96" s="17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</row>
    <row r="97" spans="1:61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7"/>
      <c r="O97" s="17"/>
      <c r="P97" s="15"/>
      <c r="Q97" s="15"/>
      <c r="R97" s="15"/>
      <c r="S97" s="15"/>
      <c r="T97" s="15"/>
      <c r="U97" s="15"/>
      <c r="V97" s="17"/>
      <c r="W97" s="17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</row>
    <row r="98" spans="1:61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7"/>
      <c r="O98" s="17"/>
      <c r="P98" s="15"/>
      <c r="Q98" s="15"/>
      <c r="R98" s="15"/>
      <c r="S98" s="15"/>
      <c r="T98" s="15"/>
      <c r="U98" s="15"/>
      <c r="V98" s="17"/>
      <c r="W98" s="17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</row>
    <row r="99" spans="1:61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7"/>
      <c r="O99" s="17"/>
      <c r="P99" s="15"/>
      <c r="Q99" s="15"/>
      <c r="R99" s="15"/>
      <c r="S99" s="15"/>
      <c r="T99" s="15"/>
      <c r="U99" s="15"/>
      <c r="V99" s="17"/>
      <c r="W99" s="17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</row>
    <row r="100" spans="1:61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7"/>
      <c r="O100" s="17"/>
      <c r="P100" s="15"/>
      <c r="Q100" s="15"/>
      <c r="R100" s="15"/>
      <c r="S100" s="15"/>
      <c r="T100" s="15"/>
      <c r="U100" s="15"/>
      <c r="V100" s="17"/>
      <c r="W100" s="17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</row>
    <row r="101" spans="1:6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7"/>
      <c r="O101" s="17"/>
      <c r="P101" s="15"/>
      <c r="Q101" s="15"/>
      <c r="R101" s="15"/>
      <c r="S101" s="15"/>
      <c r="T101" s="15"/>
      <c r="U101" s="15"/>
      <c r="V101" s="17"/>
      <c r="W101" s="17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</row>
    <row r="102" spans="1:61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7"/>
      <c r="O102" s="17"/>
      <c r="P102" s="15"/>
      <c r="Q102" s="15"/>
      <c r="R102" s="15"/>
      <c r="S102" s="15"/>
      <c r="T102" s="15"/>
      <c r="U102" s="15"/>
      <c r="V102" s="17"/>
      <c r="W102" s="17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</row>
    <row r="103" spans="1:61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7"/>
      <c r="O103" s="17"/>
      <c r="P103" s="15"/>
      <c r="Q103" s="15"/>
      <c r="R103" s="15"/>
      <c r="S103" s="15"/>
      <c r="T103" s="15"/>
      <c r="U103" s="15"/>
      <c r="V103" s="17"/>
      <c r="W103" s="17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</row>
    <row r="104" spans="1:61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7"/>
      <c r="O104" s="17"/>
      <c r="P104" s="15"/>
      <c r="Q104" s="15"/>
      <c r="R104" s="15"/>
      <c r="S104" s="15"/>
      <c r="T104" s="15"/>
      <c r="U104" s="15"/>
      <c r="V104" s="17"/>
      <c r="W104" s="17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</row>
    <row r="105" spans="1:61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7"/>
      <c r="O105" s="17"/>
      <c r="P105" s="15"/>
      <c r="Q105" s="15"/>
      <c r="R105" s="15"/>
      <c r="S105" s="15"/>
      <c r="T105" s="15"/>
      <c r="U105" s="15"/>
      <c r="V105" s="17"/>
      <c r="W105" s="17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</row>
    <row r="106" spans="1:61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7"/>
      <c r="O106" s="17"/>
      <c r="P106" s="15"/>
      <c r="Q106" s="15"/>
      <c r="R106" s="15"/>
      <c r="S106" s="15"/>
      <c r="T106" s="15"/>
      <c r="U106" s="15"/>
      <c r="V106" s="17"/>
      <c r="W106" s="17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</row>
    <row r="107" spans="1:61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7"/>
      <c r="O107" s="17"/>
      <c r="P107" s="15"/>
      <c r="Q107" s="15"/>
      <c r="R107" s="15"/>
      <c r="S107" s="15"/>
      <c r="T107" s="15"/>
      <c r="U107" s="15"/>
      <c r="V107" s="17"/>
      <c r="W107" s="17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</row>
    <row r="108" spans="1:61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7"/>
      <c r="O108" s="17"/>
      <c r="P108" s="15"/>
      <c r="Q108" s="15"/>
      <c r="R108" s="15"/>
      <c r="S108" s="15"/>
      <c r="T108" s="15"/>
      <c r="U108" s="15"/>
      <c r="V108" s="17"/>
      <c r="W108" s="17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</row>
    <row r="109" spans="1:61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7"/>
      <c r="O109" s="17"/>
      <c r="P109" s="15"/>
      <c r="Q109" s="15"/>
      <c r="R109" s="15"/>
      <c r="S109" s="15"/>
      <c r="T109" s="15"/>
      <c r="U109" s="15"/>
      <c r="V109" s="17"/>
      <c r="W109" s="17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</row>
    <row r="110" spans="1:61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7"/>
      <c r="O110" s="17"/>
      <c r="P110" s="15"/>
      <c r="Q110" s="15"/>
      <c r="R110" s="15"/>
      <c r="S110" s="15"/>
      <c r="T110" s="15"/>
      <c r="U110" s="15"/>
      <c r="V110" s="17"/>
      <c r="W110" s="17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</row>
    <row r="111" spans="1:6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7"/>
      <c r="O111" s="17"/>
      <c r="P111" s="15"/>
      <c r="Q111" s="15"/>
      <c r="R111" s="15"/>
      <c r="S111" s="15"/>
      <c r="T111" s="15"/>
      <c r="U111" s="15"/>
      <c r="V111" s="17"/>
      <c r="W111" s="17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</row>
    <row r="112" spans="1:61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7"/>
      <c r="O112" s="17"/>
      <c r="P112" s="15"/>
      <c r="Q112" s="15"/>
      <c r="R112" s="15"/>
      <c r="S112" s="15"/>
      <c r="T112" s="15"/>
      <c r="U112" s="15"/>
      <c r="V112" s="17"/>
      <c r="W112" s="17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</row>
    <row r="113" spans="1:61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7"/>
      <c r="O113" s="17"/>
      <c r="P113" s="15"/>
      <c r="Q113" s="15"/>
      <c r="R113" s="15"/>
      <c r="S113" s="15"/>
      <c r="T113" s="15"/>
      <c r="U113" s="15"/>
      <c r="V113" s="17"/>
      <c r="W113" s="17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</row>
    <row r="114" spans="1:61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7"/>
      <c r="O114" s="17"/>
      <c r="P114" s="15"/>
      <c r="Q114" s="15"/>
      <c r="R114" s="15"/>
      <c r="S114" s="15"/>
      <c r="T114" s="15"/>
      <c r="U114" s="15"/>
      <c r="V114" s="17"/>
      <c r="W114" s="17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</row>
    <row r="115" spans="1:61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7"/>
      <c r="O115" s="17"/>
      <c r="P115" s="15"/>
      <c r="Q115" s="15"/>
      <c r="R115" s="15"/>
      <c r="S115" s="15"/>
      <c r="T115" s="15"/>
      <c r="U115" s="15"/>
      <c r="V115" s="17"/>
      <c r="W115" s="17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</row>
    <row r="116" spans="1:61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7"/>
      <c r="O116" s="17"/>
      <c r="P116" s="15"/>
      <c r="Q116" s="15"/>
      <c r="R116" s="15"/>
      <c r="S116" s="15"/>
      <c r="T116" s="15"/>
      <c r="U116" s="15"/>
      <c r="V116" s="17"/>
      <c r="W116" s="17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</row>
    <row r="117" spans="1:61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7"/>
      <c r="O117" s="17"/>
      <c r="P117" s="15"/>
      <c r="Q117" s="15"/>
      <c r="R117" s="15"/>
      <c r="S117" s="15"/>
      <c r="T117" s="15"/>
      <c r="U117" s="15"/>
      <c r="V117" s="17"/>
      <c r="W117" s="17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</row>
    <row r="118" spans="1:61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7"/>
      <c r="O118" s="17"/>
      <c r="P118" s="15"/>
      <c r="Q118" s="15"/>
      <c r="R118" s="15"/>
      <c r="S118" s="15"/>
      <c r="T118" s="15"/>
      <c r="U118" s="15"/>
      <c r="V118" s="17"/>
      <c r="W118" s="17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</row>
    <row r="119" spans="1:61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7"/>
      <c r="O119" s="17"/>
      <c r="P119" s="15"/>
      <c r="Q119" s="15"/>
      <c r="R119" s="15"/>
      <c r="S119" s="15"/>
      <c r="T119" s="15"/>
      <c r="U119" s="15"/>
      <c r="V119" s="17"/>
      <c r="W119" s="17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</row>
    <row r="120" spans="1:61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7"/>
      <c r="O120" s="17"/>
      <c r="P120" s="15"/>
      <c r="Q120" s="15"/>
      <c r="R120" s="15"/>
      <c r="S120" s="15"/>
      <c r="T120" s="15"/>
      <c r="U120" s="15"/>
      <c r="V120" s="17"/>
      <c r="W120" s="17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</row>
    <row r="121" spans="1:6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7"/>
      <c r="O121" s="17"/>
      <c r="P121" s="15"/>
      <c r="Q121" s="15"/>
      <c r="R121" s="15"/>
      <c r="S121" s="15"/>
      <c r="T121" s="15"/>
      <c r="U121" s="15"/>
      <c r="V121" s="17"/>
      <c r="W121" s="17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</row>
    <row r="122" spans="1:61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7"/>
      <c r="O122" s="17"/>
      <c r="P122" s="15"/>
      <c r="Q122" s="15"/>
      <c r="R122" s="15"/>
      <c r="S122" s="15"/>
      <c r="T122" s="15"/>
      <c r="U122" s="15"/>
      <c r="V122" s="17"/>
      <c r="W122" s="17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</row>
    <row r="123" spans="1:61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7"/>
      <c r="O123" s="17"/>
      <c r="P123" s="15"/>
      <c r="Q123" s="15"/>
      <c r="R123" s="15"/>
      <c r="S123" s="15"/>
      <c r="T123" s="15"/>
      <c r="U123" s="15"/>
      <c r="V123" s="17"/>
      <c r="W123" s="17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</row>
    <row r="124" spans="1:61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7"/>
      <c r="O124" s="17"/>
      <c r="P124" s="15"/>
      <c r="Q124" s="15"/>
      <c r="R124" s="15"/>
      <c r="S124" s="15"/>
      <c r="T124" s="15"/>
      <c r="U124" s="15"/>
      <c r="V124" s="17"/>
      <c r="W124" s="17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</row>
    <row r="125" spans="1:61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7"/>
      <c r="O125" s="17"/>
      <c r="P125" s="15"/>
      <c r="Q125" s="15"/>
      <c r="R125" s="15"/>
      <c r="S125" s="15"/>
      <c r="T125" s="15"/>
      <c r="U125" s="15"/>
      <c r="V125" s="17"/>
      <c r="W125" s="17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</row>
    <row r="126" spans="1:61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7"/>
      <c r="O126" s="17"/>
      <c r="P126" s="15"/>
      <c r="Q126" s="15"/>
      <c r="R126" s="15"/>
      <c r="S126" s="15"/>
      <c r="T126" s="15"/>
      <c r="U126" s="15"/>
      <c r="V126" s="17"/>
      <c r="W126" s="17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</row>
    <row r="127" spans="1:61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7"/>
      <c r="O127" s="17"/>
      <c r="P127" s="15"/>
      <c r="Q127" s="15"/>
      <c r="R127" s="15"/>
      <c r="S127" s="15"/>
      <c r="T127" s="15"/>
      <c r="U127" s="15"/>
      <c r="V127" s="17"/>
      <c r="W127" s="17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</row>
    <row r="128" spans="1:61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7"/>
      <c r="O128" s="17"/>
      <c r="P128" s="15"/>
      <c r="Q128" s="15"/>
      <c r="R128" s="15"/>
      <c r="S128" s="15"/>
      <c r="T128" s="15"/>
      <c r="U128" s="15"/>
      <c r="V128" s="17"/>
      <c r="W128" s="17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</row>
    <row r="129" spans="1:61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7"/>
      <c r="O129" s="17"/>
      <c r="P129" s="15"/>
      <c r="Q129" s="15"/>
      <c r="R129" s="15"/>
      <c r="S129" s="15"/>
      <c r="T129" s="15"/>
      <c r="U129" s="15"/>
      <c r="V129" s="17"/>
      <c r="W129" s="17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</row>
    <row r="130" spans="1:61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7"/>
      <c r="O130" s="17"/>
      <c r="P130" s="15"/>
      <c r="Q130" s="15"/>
      <c r="R130" s="15"/>
      <c r="S130" s="15"/>
      <c r="T130" s="15"/>
      <c r="U130" s="15"/>
      <c r="V130" s="17"/>
      <c r="W130" s="17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</row>
    <row r="131" spans="1:6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7"/>
      <c r="O131" s="17"/>
      <c r="P131" s="15"/>
      <c r="Q131" s="15"/>
      <c r="R131" s="15"/>
      <c r="S131" s="15"/>
      <c r="T131" s="15"/>
      <c r="U131" s="15"/>
      <c r="V131" s="17"/>
      <c r="W131" s="17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</row>
    <row r="132" spans="1:61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7"/>
      <c r="O132" s="17"/>
      <c r="P132" s="15"/>
      <c r="Q132" s="15"/>
      <c r="R132" s="15"/>
      <c r="S132" s="15"/>
      <c r="T132" s="15"/>
      <c r="U132" s="15"/>
      <c r="V132" s="17"/>
      <c r="W132" s="17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</row>
    <row r="133" spans="1:61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7"/>
      <c r="O133" s="17"/>
      <c r="P133" s="15"/>
      <c r="Q133" s="15"/>
      <c r="R133" s="15"/>
      <c r="S133" s="15"/>
      <c r="T133" s="15"/>
      <c r="U133" s="15"/>
      <c r="V133" s="17"/>
      <c r="W133" s="17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</row>
    <row r="134" spans="1:61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7"/>
      <c r="O134" s="17"/>
      <c r="P134" s="15"/>
      <c r="Q134" s="15"/>
      <c r="R134" s="15"/>
      <c r="S134" s="15"/>
      <c r="T134" s="15"/>
      <c r="U134" s="15"/>
      <c r="V134" s="17"/>
      <c r="W134" s="17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</row>
    <row r="135" spans="1:61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7"/>
      <c r="O135" s="17"/>
      <c r="P135" s="15"/>
      <c r="Q135" s="15"/>
      <c r="R135" s="15"/>
      <c r="S135" s="15"/>
      <c r="T135" s="15"/>
      <c r="U135" s="15"/>
      <c r="V135" s="17"/>
      <c r="W135" s="17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</row>
    <row r="136" spans="1:61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7"/>
      <c r="O136" s="17"/>
      <c r="P136" s="15"/>
      <c r="Q136" s="15"/>
      <c r="R136" s="15"/>
      <c r="S136" s="15"/>
      <c r="T136" s="15"/>
      <c r="U136" s="15"/>
      <c r="V136" s="17"/>
      <c r="W136" s="17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  <c r="BG136" s="15"/>
      <c r="BH136" s="15"/>
      <c r="BI136" s="15"/>
    </row>
    <row r="137" spans="1:61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7"/>
      <c r="O137" s="17"/>
      <c r="P137" s="15"/>
      <c r="Q137" s="15"/>
      <c r="R137" s="15"/>
      <c r="S137" s="15"/>
      <c r="T137" s="15"/>
      <c r="U137" s="15"/>
      <c r="V137" s="17"/>
      <c r="W137" s="17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</row>
    <row r="138" spans="1:61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7"/>
      <c r="O138" s="17"/>
      <c r="P138" s="15"/>
      <c r="Q138" s="15"/>
      <c r="R138" s="15"/>
      <c r="S138" s="15"/>
      <c r="T138" s="15"/>
      <c r="U138" s="15"/>
      <c r="V138" s="17"/>
      <c r="W138" s="17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</row>
    <row r="139" spans="1:61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7"/>
      <c r="O139" s="17"/>
      <c r="P139" s="15"/>
      <c r="Q139" s="15"/>
      <c r="R139" s="15"/>
      <c r="S139" s="15"/>
      <c r="T139" s="15"/>
      <c r="U139" s="15"/>
      <c r="V139" s="17"/>
      <c r="W139" s="17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</row>
    <row r="140" spans="1:61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7"/>
      <c r="O140" s="17"/>
      <c r="P140" s="15"/>
      <c r="Q140" s="15"/>
      <c r="R140" s="15"/>
      <c r="S140" s="15"/>
      <c r="T140" s="15"/>
      <c r="U140" s="15"/>
      <c r="V140" s="17"/>
      <c r="W140" s="17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  <c r="BG140" s="15"/>
      <c r="BH140" s="15"/>
      <c r="BI140" s="15"/>
    </row>
    <row r="141" spans="1:6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7"/>
      <c r="O141" s="17"/>
      <c r="P141" s="15"/>
      <c r="Q141" s="15"/>
      <c r="R141" s="15"/>
      <c r="S141" s="15"/>
      <c r="T141" s="15"/>
      <c r="U141" s="15"/>
      <c r="V141" s="17"/>
      <c r="W141" s="17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</row>
    <row r="142" spans="1:61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7"/>
      <c r="O142" s="17"/>
      <c r="P142" s="15"/>
      <c r="Q142" s="15"/>
      <c r="R142" s="15"/>
      <c r="S142" s="15"/>
      <c r="T142" s="15"/>
      <c r="U142" s="15"/>
      <c r="V142" s="17"/>
      <c r="W142" s="17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  <c r="BI142" s="15"/>
    </row>
    <row r="143" spans="1:61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7"/>
      <c r="O143" s="17"/>
      <c r="P143" s="15"/>
      <c r="Q143" s="15"/>
      <c r="R143" s="15"/>
      <c r="S143" s="15"/>
      <c r="T143" s="15"/>
      <c r="U143" s="15"/>
      <c r="V143" s="17"/>
      <c r="W143" s="17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</row>
    <row r="144" spans="1:61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7"/>
      <c r="O144" s="17"/>
      <c r="P144" s="15"/>
      <c r="Q144" s="15"/>
      <c r="R144" s="15"/>
      <c r="S144" s="15"/>
      <c r="T144" s="15"/>
      <c r="U144" s="15"/>
      <c r="V144" s="17"/>
      <c r="W144" s="17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  <c r="BI144" s="15"/>
    </row>
    <row r="145" spans="1:61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7"/>
      <c r="O145" s="17"/>
      <c r="P145" s="15"/>
      <c r="Q145" s="15"/>
      <c r="R145" s="15"/>
      <c r="S145" s="15"/>
      <c r="T145" s="15"/>
      <c r="U145" s="15"/>
      <c r="V145" s="17"/>
      <c r="W145" s="17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</row>
    <row r="146" spans="1:61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7"/>
      <c r="O146" s="17"/>
      <c r="P146" s="15"/>
      <c r="Q146" s="15"/>
      <c r="R146" s="15"/>
      <c r="S146" s="15"/>
      <c r="T146" s="15"/>
      <c r="U146" s="15"/>
      <c r="V146" s="17"/>
      <c r="W146" s="17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  <c r="BG146" s="15"/>
      <c r="BH146" s="15"/>
      <c r="BI146" s="15"/>
    </row>
    <row r="147" spans="1:61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7"/>
      <c r="O147" s="17"/>
      <c r="P147" s="15"/>
      <c r="Q147" s="15"/>
      <c r="R147" s="15"/>
      <c r="S147" s="15"/>
      <c r="T147" s="15"/>
      <c r="U147" s="15"/>
      <c r="V147" s="17"/>
      <c r="W147" s="17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</row>
    <row r="148" spans="1:61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7"/>
      <c r="O148" s="17"/>
      <c r="P148" s="15"/>
      <c r="Q148" s="15"/>
      <c r="R148" s="15"/>
      <c r="S148" s="15"/>
      <c r="T148" s="15"/>
      <c r="U148" s="15"/>
      <c r="V148" s="17"/>
      <c r="W148" s="17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  <c r="BG148" s="15"/>
      <c r="BH148" s="15"/>
      <c r="BI148" s="15"/>
    </row>
    <row r="149" spans="1:61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7"/>
      <c r="O149" s="17"/>
      <c r="P149" s="15"/>
      <c r="Q149" s="15"/>
      <c r="R149" s="15"/>
      <c r="S149" s="15"/>
      <c r="T149" s="15"/>
      <c r="U149" s="15"/>
      <c r="V149" s="17"/>
      <c r="W149" s="17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</row>
    <row r="150" spans="1:61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7"/>
      <c r="O150" s="17"/>
      <c r="P150" s="15"/>
      <c r="Q150" s="15"/>
      <c r="R150" s="15"/>
      <c r="S150" s="15"/>
      <c r="T150" s="15"/>
      <c r="U150" s="15"/>
      <c r="V150" s="17"/>
      <c r="W150" s="17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  <c r="BG150" s="15"/>
      <c r="BH150" s="15"/>
      <c r="BI150" s="15"/>
    </row>
    <row r="151" spans="1:6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7"/>
      <c r="O151" s="17"/>
      <c r="P151" s="15"/>
      <c r="Q151" s="15"/>
      <c r="R151" s="15"/>
      <c r="S151" s="15"/>
      <c r="T151" s="15"/>
      <c r="U151" s="15"/>
      <c r="V151" s="17"/>
      <c r="W151" s="17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</row>
    <row r="152" spans="1:61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7"/>
      <c r="O152" s="17"/>
      <c r="P152" s="15"/>
      <c r="Q152" s="15"/>
      <c r="R152" s="15"/>
      <c r="S152" s="15"/>
      <c r="T152" s="15"/>
      <c r="U152" s="15"/>
      <c r="V152" s="17"/>
      <c r="W152" s="17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</row>
    <row r="153" spans="1:61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7"/>
      <c r="O153" s="17"/>
      <c r="P153" s="15"/>
      <c r="Q153" s="15"/>
      <c r="R153" s="15"/>
      <c r="S153" s="15"/>
      <c r="T153" s="15"/>
      <c r="U153" s="15"/>
      <c r="V153" s="17"/>
      <c r="W153" s="17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</row>
    <row r="154" spans="1:61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7"/>
      <c r="O154" s="17"/>
      <c r="P154" s="15"/>
      <c r="Q154" s="15"/>
      <c r="R154" s="15"/>
      <c r="S154" s="15"/>
      <c r="T154" s="15"/>
      <c r="U154" s="15"/>
      <c r="V154" s="17"/>
      <c r="W154" s="17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5"/>
      <c r="BF154" s="15"/>
      <c r="BG154" s="15"/>
      <c r="BH154" s="15"/>
      <c r="BI154" s="15"/>
    </row>
    <row r="155" spans="1:61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7"/>
      <c r="O155" s="17"/>
      <c r="P155" s="15"/>
      <c r="Q155" s="15"/>
      <c r="R155" s="15"/>
      <c r="S155" s="15"/>
      <c r="T155" s="15"/>
      <c r="U155" s="15"/>
      <c r="V155" s="17"/>
      <c r="W155" s="17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</row>
    <row r="156" spans="1:61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7"/>
      <c r="O156" s="17"/>
      <c r="P156" s="15"/>
      <c r="Q156" s="15"/>
      <c r="R156" s="15"/>
      <c r="S156" s="15"/>
      <c r="T156" s="15"/>
      <c r="U156" s="15"/>
      <c r="V156" s="17"/>
      <c r="W156" s="17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5"/>
      <c r="BE156" s="15"/>
      <c r="BF156" s="15"/>
      <c r="BG156" s="15"/>
      <c r="BH156" s="15"/>
      <c r="BI156" s="15"/>
    </row>
    <row r="157" spans="1:61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7"/>
      <c r="O157" s="17"/>
      <c r="P157" s="15"/>
      <c r="Q157" s="15"/>
      <c r="R157" s="15"/>
      <c r="S157" s="15"/>
      <c r="T157" s="15"/>
      <c r="U157" s="15"/>
      <c r="V157" s="17"/>
      <c r="W157" s="17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</row>
    <row r="158" spans="1:61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7"/>
      <c r="O158" s="17"/>
      <c r="P158" s="15"/>
      <c r="Q158" s="15"/>
      <c r="R158" s="15"/>
      <c r="S158" s="15"/>
      <c r="T158" s="15"/>
      <c r="U158" s="15"/>
      <c r="V158" s="17"/>
      <c r="W158" s="17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  <c r="BG158" s="15"/>
      <c r="BH158" s="15"/>
      <c r="BI158" s="15"/>
    </row>
    <row r="159" spans="1:61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7"/>
      <c r="O159" s="17"/>
      <c r="P159" s="15"/>
      <c r="Q159" s="15"/>
      <c r="R159" s="15"/>
      <c r="S159" s="15"/>
      <c r="T159" s="15"/>
      <c r="U159" s="15"/>
      <c r="V159" s="17"/>
      <c r="W159" s="17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</row>
    <row r="160" spans="1:61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7"/>
      <c r="O160" s="17"/>
      <c r="P160" s="15"/>
      <c r="Q160" s="15"/>
      <c r="R160" s="15"/>
      <c r="S160" s="15"/>
      <c r="T160" s="15"/>
      <c r="U160" s="15"/>
      <c r="V160" s="17"/>
      <c r="W160" s="17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  <c r="BF160" s="15"/>
      <c r="BG160" s="15"/>
      <c r="BH160" s="15"/>
      <c r="BI160" s="15"/>
    </row>
    <row r="161" spans="1: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7"/>
      <c r="O161" s="17"/>
      <c r="P161" s="15"/>
      <c r="Q161" s="15"/>
      <c r="R161" s="15"/>
      <c r="S161" s="15"/>
      <c r="T161" s="15"/>
      <c r="U161" s="15"/>
      <c r="V161" s="17"/>
      <c r="W161" s="17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</row>
    <row r="162" spans="1:61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7"/>
      <c r="O162" s="17"/>
      <c r="P162" s="15"/>
      <c r="Q162" s="15"/>
      <c r="R162" s="15"/>
      <c r="S162" s="15"/>
      <c r="T162" s="15"/>
      <c r="U162" s="15"/>
      <c r="V162" s="17"/>
      <c r="W162" s="17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  <c r="BF162" s="15"/>
      <c r="BG162" s="15"/>
      <c r="BH162" s="15"/>
      <c r="BI162" s="15"/>
    </row>
    <row r="163" spans="1:61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7"/>
      <c r="O163" s="17"/>
      <c r="P163" s="15"/>
      <c r="Q163" s="15"/>
      <c r="R163" s="15"/>
      <c r="S163" s="15"/>
      <c r="T163" s="15"/>
      <c r="U163" s="15"/>
      <c r="V163" s="17"/>
      <c r="W163" s="17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</row>
    <row r="164" spans="1:61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7"/>
      <c r="O164" s="17"/>
      <c r="P164" s="15"/>
      <c r="Q164" s="15"/>
      <c r="R164" s="15"/>
      <c r="S164" s="15"/>
      <c r="T164" s="15"/>
      <c r="U164" s="15"/>
      <c r="V164" s="17"/>
      <c r="W164" s="17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5"/>
      <c r="BF164" s="15"/>
      <c r="BG164" s="15"/>
      <c r="BH164" s="15"/>
      <c r="BI164" s="15"/>
    </row>
    <row r="165" spans="1:61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7"/>
      <c r="O165" s="17"/>
      <c r="P165" s="15"/>
      <c r="Q165" s="15"/>
      <c r="R165" s="15"/>
      <c r="S165" s="15"/>
      <c r="T165" s="15"/>
      <c r="U165" s="15"/>
      <c r="V165" s="17"/>
      <c r="W165" s="17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</row>
    <row r="166" spans="1:61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7"/>
      <c r="O166" s="17"/>
      <c r="P166" s="15"/>
      <c r="Q166" s="15"/>
      <c r="R166" s="15"/>
      <c r="S166" s="15"/>
      <c r="T166" s="15"/>
      <c r="U166" s="15"/>
      <c r="V166" s="17"/>
      <c r="W166" s="17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5"/>
      <c r="BE166" s="15"/>
      <c r="BF166" s="15"/>
      <c r="BG166" s="15"/>
      <c r="BH166" s="15"/>
      <c r="BI166" s="15"/>
    </row>
    <row r="167" spans="1:61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7"/>
      <c r="O167" s="17"/>
      <c r="P167" s="15"/>
      <c r="Q167" s="15"/>
      <c r="R167" s="15"/>
      <c r="S167" s="15"/>
      <c r="T167" s="15"/>
      <c r="U167" s="15"/>
      <c r="V167" s="17"/>
      <c r="W167" s="17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</row>
    <row r="168" spans="1:61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7"/>
      <c r="O168" s="17"/>
      <c r="P168" s="15"/>
      <c r="Q168" s="15"/>
      <c r="R168" s="15"/>
      <c r="S168" s="15"/>
      <c r="T168" s="15"/>
      <c r="U168" s="15"/>
      <c r="V168" s="17"/>
      <c r="W168" s="17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  <c r="BD168" s="15"/>
      <c r="BE168" s="15"/>
      <c r="BF168" s="15"/>
      <c r="BG168" s="15"/>
      <c r="BH168" s="15"/>
      <c r="BI168" s="15"/>
    </row>
    <row r="169" spans="1:61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7"/>
      <c r="O169" s="17"/>
      <c r="P169" s="15"/>
      <c r="Q169" s="15"/>
      <c r="R169" s="15"/>
      <c r="S169" s="15"/>
      <c r="T169" s="15"/>
      <c r="U169" s="15"/>
      <c r="V169" s="17"/>
      <c r="W169" s="17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</row>
    <row r="170" spans="1:61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7"/>
      <c r="O170" s="17"/>
      <c r="P170" s="15"/>
      <c r="Q170" s="15"/>
      <c r="R170" s="15"/>
      <c r="S170" s="15"/>
      <c r="T170" s="15"/>
      <c r="U170" s="15"/>
      <c r="V170" s="17"/>
      <c r="W170" s="17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5"/>
      <c r="BF170" s="15"/>
      <c r="BG170" s="15"/>
      <c r="BH170" s="15"/>
      <c r="BI170" s="15"/>
    </row>
    <row r="171" spans="1:6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7"/>
      <c r="O171" s="17"/>
      <c r="P171" s="15"/>
      <c r="Q171" s="15"/>
      <c r="R171" s="15"/>
      <c r="S171" s="15"/>
      <c r="T171" s="15"/>
      <c r="U171" s="15"/>
      <c r="V171" s="17"/>
      <c r="W171" s="17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</row>
    <row r="172" spans="1:61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7"/>
      <c r="O172" s="17"/>
      <c r="P172" s="15"/>
      <c r="Q172" s="15"/>
      <c r="R172" s="15"/>
      <c r="S172" s="15"/>
      <c r="T172" s="15"/>
      <c r="U172" s="15"/>
      <c r="V172" s="17"/>
      <c r="W172" s="17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5"/>
      <c r="BE172" s="15"/>
      <c r="BF172" s="15"/>
      <c r="BG172" s="15"/>
      <c r="BH172" s="15"/>
      <c r="BI172" s="15"/>
    </row>
    <row r="173" spans="1:61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7"/>
      <c r="O173" s="17"/>
      <c r="P173" s="15"/>
      <c r="Q173" s="15"/>
      <c r="R173" s="15"/>
      <c r="S173" s="15"/>
      <c r="T173" s="15"/>
      <c r="U173" s="15"/>
      <c r="V173" s="17"/>
      <c r="W173" s="17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</row>
    <row r="174" spans="1:61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7"/>
      <c r="O174" s="17"/>
      <c r="P174" s="15"/>
      <c r="Q174" s="15"/>
      <c r="R174" s="15"/>
      <c r="S174" s="15"/>
      <c r="T174" s="15"/>
      <c r="U174" s="15"/>
      <c r="V174" s="17"/>
      <c r="W174" s="17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  <c r="BD174" s="15"/>
      <c r="BE174" s="15"/>
      <c r="BF174" s="15"/>
      <c r="BG174" s="15"/>
      <c r="BH174" s="15"/>
      <c r="BI174" s="15"/>
    </row>
    <row r="175" spans="1:61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7"/>
      <c r="O175" s="17"/>
      <c r="P175" s="15"/>
      <c r="Q175" s="15"/>
      <c r="R175" s="15"/>
      <c r="S175" s="15"/>
      <c r="T175" s="15"/>
      <c r="U175" s="15"/>
      <c r="V175" s="17"/>
      <c r="W175" s="17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</row>
    <row r="176" spans="1:61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7"/>
      <c r="O176" s="17"/>
      <c r="P176" s="15"/>
      <c r="Q176" s="15"/>
      <c r="R176" s="15"/>
      <c r="S176" s="15"/>
      <c r="T176" s="15"/>
      <c r="U176" s="15"/>
      <c r="V176" s="17"/>
      <c r="W176" s="17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  <c r="BD176" s="15"/>
      <c r="BE176" s="15"/>
      <c r="BF176" s="15"/>
      <c r="BG176" s="15"/>
      <c r="BH176" s="15"/>
      <c r="BI176" s="15"/>
    </row>
    <row r="177" spans="1:61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7"/>
      <c r="O177" s="17"/>
      <c r="P177" s="15"/>
      <c r="Q177" s="15"/>
      <c r="R177" s="15"/>
      <c r="S177" s="15"/>
      <c r="T177" s="15"/>
      <c r="U177" s="15"/>
      <c r="V177" s="17"/>
      <c r="W177" s="17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</row>
    <row r="178" spans="1:61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7"/>
      <c r="O178" s="17"/>
      <c r="P178" s="15"/>
      <c r="Q178" s="15"/>
      <c r="R178" s="15"/>
      <c r="S178" s="15"/>
      <c r="T178" s="15"/>
      <c r="U178" s="15"/>
      <c r="V178" s="17"/>
      <c r="W178" s="17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  <c r="BD178" s="15"/>
      <c r="BE178" s="15"/>
      <c r="BF178" s="15"/>
      <c r="BG178" s="15"/>
      <c r="BH178" s="15"/>
      <c r="BI178" s="15"/>
    </row>
    <row r="179" spans="1:61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7"/>
      <c r="O179" s="17"/>
      <c r="P179" s="15"/>
      <c r="Q179" s="15"/>
      <c r="R179" s="15"/>
      <c r="S179" s="15"/>
      <c r="T179" s="15"/>
      <c r="U179" s="15"/>
      <c r="V179" s="17"/>
      <c r="W179" s="17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</row>
    <row r="180" spans="1:61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7"/>
      <c r="O180" s="17"/>
      <c r="P180" s="15"/>
      <c r="Q180" s="15"/>
      <c r="R180" s="15"/>
      <c r="S180" s="15"/>
      <c r="T180" s="15"/>
      <c r="U180" s="15"/>
      <c r="V180" s="17"/>
      <c r="W180" s="17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s="15"/>
      <c r="BE180" s="15"/>
      <c r="BF180" s="15"/>
      <c r="BG180" s="15"/>
      <c r="BH180" s="15"/>
      <c r="BI180" s="15"/>
    </row>
    <row r="181" spans="1:6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7"/>
      <c r="O181" s="17"/>
      <c r="P181" s="15"/>
      <c r="Q181" s="15"/>
      <c r="R181" s="15"/>
      <c r="S181" s="15"/>
      <c r="T181" s="15"/>
      <c r="U181" s="15"/>
      <c r="V181" s="17"/>
      <c r="W181" s="17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</row>
    <row r="182" spans="1:61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7"/>
      <c r="O182" s="17"/>
      <c r="P182" s="15"/>
      <c r="Q182" s="15"/>
      <c r="R182" s="15"/>
      <c r="S182" s="15"/>
      <c r="T182" s="15"/>
      <c r="U182" s="15"/>
      <c r="V182" s="17"/>
      <c r="W182" s="17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  <c r="BD182" s="15"/>
      <c r="BE182" s="15"/>
      <c r="BF182" s="15"/>
      <c r="BG182" s="15"/>
      <c r="BH182" s="15"/>
      <c r="BI182" s="15"/>
    </row>
    <row r="183" spans="1:61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7"/>
      <c r="O183" s="17"/>
      <c r="P183" s="15"/>
      <c r="Q183" s="15"/>
      <c r="R183" s="15"/>
      <c r="S183" s="15"/>
      <c r="T183" s="15"/>
      <c r="U183" s="15"/>
      <c r="V183" s="17"/>
      <c r="W183" s="17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</row>
    <row r="184" spans="1:61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7"/>
      <c r="O184" s="17"/>
      <c r="P184" s="15"/>
      <c r="Q184" s="15"/>
      <c r="R184" s="15"/>
      <c r="S184" s="15"/>
      <c r="T184" s="15"/>
      <c r="U184" s="15"/>
      <c r="V184" s="17"/>
      <c r="W184" s="17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15"/>
      <c r="BE184" s="15"/>
      <c r="BF184" s="15"/>
      <c r="BG184" s="15"/>
      <c r="BH184" s="15"/>
      <c r="BI184" s="15"/>
    </row>
    <row r="185" spans="1:61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7"/>
      <c r="O185" s="17"/>
      <c r="P185" s="15"/>
      <c r="Q185" s="15"/>
      <c r="R185" s="15"/>
      <c r="S185" s="15"/>
      <c r="T185" s="15"/>
      <c r="U185" s="15"/>
      <c r="V185" s="17"/>
      <c r="W185" s="17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</row>
    <row r="186" spans="1:61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7"/>
      <c r="O186" s="17"/>
      <c r="P186" s="15"/>
      <c r="Q186" s="15"/>
      <c r="R186" s="15"/>
      <c r="S186" s="15"/>
      <c r="T186" s="15"/>
      <c r="U186" s="15"/>
      <c r="V186" s="17"/>
      <c r="W186" s="17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  <c r="BD186" s="15"/>
      <c r="BE186" s="15"/>
      <c r="BF186" s="15"/>
      <c r="BG186" s="15"/>
      <c r="BH186" s="15"/>
      <c r="BI186" s="15"/>
    </row>
    <row r="187" spans="1:61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7"/>
      <c r="O187" s="17"/>
      <c r="P187" s="15"/>
      <c r="Q187" s="15"/>
      <c r="R187" s="15"/>
      <c r="S187" s="15"/>
      <c r="T187" s="15"/>
      <c r="U187" s="15"/>
      <c r="V187" s="17"/>
      <c r="W187" s="17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  <c r="BI187" s="15"/>
    </row>
    <row r="188" spans="1:61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7"/>
      <c r="O188" s="17"/>
      <c r="P188" s="15"/>
      <c r="Q188" s="15"/>
      <c r="R188" s="15"/>
      <c r="S188" s="15"/>
      <c r="T188" s="15"/>
      <c r="U188" s="15"/>
      <c r="V188" s="17"/>
      <c r="W188" s="17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  <c r="BE188" s="15"/>
      <c r="BF188" s="15"/>
      <c r="BG188" s="15"/>
      <c r="BH188" s="15"/>
      <c r="BI188" s="15"/>
    </row>
    <row r="189" spans="1:61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7"/>
      <c r="O189" s="17"/>
      <c r="P189" s="15"/>
      <c r="Q189" s="15"/>
      <c r="R189" s="15"/>
      <c r="S189" s="15"/>
      <c r="T189" s="15"/>
      <c r="U189" s="15"/>
      <c r="V189" s="17"/>
      <c r="W189" s="17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</row>
    <row r="190" spans="1:61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7"/>
      <c r="O190" s="17"/>
      <c r="P190" s="15"/>
      <c r="Q190" s="15"/>
      <c r="R190" s="15"/>
      <c r="S190" s="15"/>
      <c r="T190" s="15"/>
      <c r="U190" s="15"/>
      <c r="V190" s="17"/>
      <c r="W190" s="17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  <c r="BE190" s="15"/>
      <c r="BF190" s="15"/>
      <c r="BG190" s="15"/>
      <c r="BH190" s="15"/>
      <c r="BI190" s="15"/>
    </row>
    <row r="191" spans="1:6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7"/>
      <c r="O191" s="17"/>
      <c r="P191" s="15"/>
      <c r="Q191" s="15"/>
      <c r="R191" s="15"/>
      <c r="S191" s="15"/>
      <c r="T191" s="15"/>
      <c r="U191" s="15"/>
      <c r="V191" s="17"/>
      <c r="W191" s="17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</row>
    <row r="192" spans="1:61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7"/>
      <c r="O192" s="17"/>
      <c r="P192" s="15"/>
      <c r="Q192" s="15"/>
      <c r="R192" s="15"/>
      <c r="S192" s="15"/>
      <c r="T192" s="15"/>
      <c r="U192" s="15"/>
      <c r="V192" s="17"/>
      <c r="W192" s="17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5"/>
      <c r="BE192" s="15"/>
      <c r="BF192" s="15"/>
      <c r="BG192" s="15"/>
      <c r="BH192" s="15"/>
      <c r="BI192" s="15"/>
    </row>
    <row r="193" spans="1:61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7"/>
      <c r="O193" s="17"/>
      <c r="P193" s="15"/>
      <c r="Q193" s="15"/>
      <c r="R193" s="15"/>
      <c r="S193" s="15"/>
      <c r="T193" s="15"/>
      <c r="U193" s="15"/>
      <c r="V193" s="17"/>
      <c r="W193" s="17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</row>
    <row r="194" spans="1:61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7"/>
      <c r="O194" s="17"/>
      <c r="P194" s="15"/>
      <c r="Q194" s="15"/>
      <c r="R194" s="15"/>
      <c r="S194" s="15"/>
      <c r="T194" s="15"/>
      <c r="U194" s="15"/>
      <c r="V194" s="17"/>
      <c r="W194" s="17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  <c r="BD194" s="15"/>
      <c r="BE194" s="15"/>
      <c r="BF194" s="15"/>
      <c r="BG194" s="15"/>
      <c r="BH194" s="15"/>
      <c r="BI194" s="15"/>
    </row>
    <row r="195" spans="1:61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7"/>
      <c r="O195" s="17"/>
      <c r="P195" s="15"/>
      <c r="Q195" s="15"/>
      <c r="R195" s="15"/>
      <c r="S195" s="15"/>
      <c r="T195" s="15"/>
      <c r="U195" s="15"/>
      <c r="V195" s="17"/>
      <c r="W195" s="17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</row>
    <row r="196" spans="1:61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7"/>
      <c r="O196" s="17"/>
      <c r="P196" s="15"/>
      <c r="Q196" s="15"/>
      <c r="R196" s="15"/>
      <c r="S196" s="15"/>
      <c r="T196" s="15"/>
      <c r="U196" s="15"/>
      <c r="V196" s="17"/>
      <c r="W196" s="17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A196" s="15"/>
      <c r="BB196" s="15"/>
      <c r="BC196" s="15"/>
      <c r="BD196" s="15"/>
      <c r="BE196" s="15"/>
      <c r="BF196" s="15"/>
      <c r="BG196" s="15"/>
      <c r="BH196" s="15"/>
      <c r="BI196" s="15"/>
    </row>
    <row r="197" spans="1:61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7"/>
      <c r="O197" s="17"/>
      <c r="P197" s="15"/>
      <c r="Q197" s="15"/>
      <c r="R197" s="15"/>
      <c r="S197" s="15"/>
      <c r="T197" s="15"/>
      <c r="U197" s="15"/>
      <c r="V197" s="17"/>
      <c r="W197" s="17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</row>
    <row r="198" spans="1:61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7"/>
      <c r="O198" s="17"/>
      <c r="P198" s="15"/>
      <c r="Q198" s="15"/>
      <c r="R198" s="15"/>
      <c r="S198" s="15"/>
      <c r="T198" s="15"/>
      <c r="U198" s="15"/>
      <c r="V198" s="17"/>
      <c r="W198" s="17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  <c r="BD198" s="15"/>
      <c r="BE198" s="15"/>
      <c r="BF198" s="15"/>
      <c r="BG198" s="15"/>
      <c r="BH198" s="15"/>
      <c r="BI198" s="15"/>
    </row>
    <row r="199" spans="1:61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7"/>
      <c r="O199" s="17"/>
      <c r="P199" s="15"/>
      <c r="Q199" s="15"/>
      <c r="R199" s="15"/>
      <c r="S199" s="15"/>
      <c r="T199" s="15"/>
      <c r="U199" s="15"/>
      <c r="V199" s="17"/>
      <c r="W199" s="17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</row>
    <row r="200" spans="1:61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7"/>
      <c r="O200" s="17"/>
      <c r="P200" s="15"/>
      <c r="Q200" s="15"/>
      <c r="R200" s="15"/>
      <c r="S200" s="15"/>
      <c r="T200" s="15"/>
      <c r="U200" s="15"/>
      <c r="V200" s="17"/>
      <c r="W200" s="17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s="15"/>
      <c r="BE200" s="15"/>
      <c r="BF200" s="15"/>
      <c r="BG200" s="15"/>
      <c r="BH200" s="15"/>
      <c r="BI200" s="15"/>
    </row>
    <row r="201" spans="1:6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7"/>
      <c r="O201" s="17"/>
      <c r="P201" s="15"/>
      <c r="Q201" s="15"/>
      <c r="R201" s="15"/>
      <c r="S201" s="15"/>
      <c r="T201" s="15"/>
      <c r="U201" s="15"/>
      <c r="V201" s="17"/>
      <c r="W201" s="17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</row>
    <row r="202" spans="1:61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7"/>
      <c r="O202" s="17"/>
      <c r="P202" s="15"/>
      <c r="Q202" s="15"/>
      <c r="R202" s="15"/>
      <c r="S202" s="15"/>
      <c r="T202" s="15"/>
      <c r="U202" s="15"/>
      <c r="V202" s="17"/>
      <c r="W202" s="17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  <c r="BB202" s="15"/>
      <c r="BC202" s="15"/>
      <c r="BD202" s="15"/>
      <c r="BE202" s="15"/>
      <c r="BF202" s="15"/>
      <c r="BG202" s="15"/>
      <c r="BH202" s="15"/>
      <c r="BI202" s="15"/>
    </row>
    <row r="203" spans="1:61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7"/>
      <c r="O203" s="17"/>
      <c r="P203" s="15"/>
      <c r="Q203" s="15"/>
      <c r="R203" s="15"/>
      <c r="S203" s="15"/>
      <c r="T203" s="15"/>
      <c r="U203" s="15"/>
      <c r="V203" s="17"/>
      <c r="W203" s="17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  <c r="BH203" s="15"/>
      <c r="BI203" s="15"/>
    </row>
    <row r="204" spans="1:61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7"/>
      <c r="O204" s="17"/>
      <c r="P204" s="15"/>
      <c r="Q204" s="15"/>
      <c r="R204" s="15"/>
      <c r="S204" s="15"/>
      <c r="T204" s="15"/>
      <c r="U204" s="15"/>
      <c r="V204" s="17"/>
      <c r="W204" s="17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A204" s="15"/>
      <c r="BB204" s="15"/>
      <c r="BC204" s="15"/>
      <c r="BD204" s="15"/>
      <c r="BE204" s="15"/>
      <c r="BF204" s="15"/>
      <c r="BG204" s="15"/>
      <c r="BH204" s="15"/>
      <c r="BI204" s="15"/>
    </row>
    <row r="205" spans="1:61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7"/>
      <c r="O205" s="17"/>
      <c r="P205" s="15"/>
      <c r="Q205" s="15"/>
      <c r="R205" s="15"/>
      <c r="S205" s="15"/>
      <c r="T205" s="15"/>
      <c r="U205" s="15"/>
      <c r="V205" s="17"/>
      <c r="W205" s="17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  <c r="BH205" s="15"/>
      <c r="BI205" s="15"/>
    </row>
    <row r="206" spans="1:61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7"/>
      <c r="O206" s="17"/>
      <c r="P206" s="15"/>
      <c r="Q206" s="15"/>
      <c r="R206" s="15"/>
      <c r="S206" s="15"/>
      <c r="T206" s="15"/>
      <c r="U206" s="15"/>
      <c r="V206" s="17"/>
      <c r="W206" s="17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  <c r="BD206" s="15"/>
      <c r="BE206" s="15"/>
      <c r="BF206" s="15"/>
      <c r="BG206" s="15"/>
      <c r="BH206" s="15"/>
      <c r="BI206" s="15"/>
    </row>
    <row r="207" spans="1:61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7"/>
      <c r="O207" s="17"/>
      <c r="P207" s="15"/>
      <c r="Q207" s="15"/>
      <c r="R207" s="15"/>
      <c r="S207" s="15"/>
      <c r="T207" s="15"/>
      <c r="U207" s="15"/>
      <c r="V207" s="17"/>
      <c r="W207" s="17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</row>
    <row r="208" spans="1:61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7"/>
      <c r="O208" s="17"/>
      <c r="P208" s="15"/>
      <c r="Q208" s="15"/>
      <c r="R208" s="15"/>
      <c r="S208" s="15"/>
      <c r="T208" s="15"/>
      <c r="U208" s="15"/>
      <c r="V208" s="17"/>
      <c r="W208" s="17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  <c r="BD208" s="15"/>
      <c r="BE208" s="15"/>
      <c r="BF208" s="15"/>
      <c r="BG208" s="15"/>
      <c r="BH208" s="15"/>
      <c r="BI208" s="15"/>
    </row>
    <row r="209" spans="1:61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7"/>
      <c r="O209" s="17"/>
      <c r="P209" s="15"/>
      <c r="Q209" s="15"/>
      <c r="R209" s="15"/>
      <c r="S209" s="15"/>
      <c r="T209" s="15"/>
      <c r="U209" s="15"/>
      <c r="V209" s="17"/>
      <c r="W209" s="17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</row>
    <row r="210" spans="1:61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7"/>
      <c r="O210" s="17"/>
      <c r="P210" s="15"/>
      <c r="Q210" s="15"/>
      <c r="R210" s="15"/>
      <c r="S210" s="15"/>
      <c r="T210" s="15"/>
      <c r="U210" s="15"/>
      <c r="V210" s="17"/>
      <c r="W210" s="17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  <c r="BD210" s="15"/>
      <c r="BE210" s="15"/>
      <c r="BF210" s="15"/>
      <c r="BG210" s="15"/>
      <c r="BH210" s="15"/>
      <c r="BI210" s="15"/>
    </row>
    <row r="211" spans="1:6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7"/>
      <c r="O211" s="17"/>
      <c r="P211" s="15"/>
      <c r="Q211" s="15"/>
      <c r="R211" s="15"/>
      <c r="S211" s="15"/>
      <c r="T211" s="15"/>
      <c r="U211" s="15"/>
      <c r="V211" s="17"/>
      <c r="W211" s="17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</row>
    <row r="212" spans="1:61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7"/>
      <c r="O212" s="17"/>
      <c r="P212" s="15"/>
      <c r="Q212" s="15"/>
      <c r="R212" s="15"/>
      <c r="S212" s="15"/>
      <c r="T212" s="15"/>
      <c r="U212" s="15"/>
      <c r="V212" s="17"/>
      <c r="W212" s="17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  <c r="BD212" s="15"/>
      <c r="BE212" s="15"/>
      <c r="BF212" s="15"/>
      <c r="BG212" s="15"/>
      <c r="BH212" s="15"/>
      <c r="BI212" s="15"/>
    </row>
    <row r="213" spans="1:61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7"/>
      <c r="O213" s="17"/>
      <c r="P213" s="15"/>
      <c r="Q213" s="15"/>
      <c r="R213" s="15"/>
      <c r="S213" s="15"/>
      <c r="T213" s="15"/>
      <c r="U213" s="15"/>
      <c r="V213" s="17"/>
      <c r="W213" s="17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  <c r="BH213" s="15"/>
      <c r="BI213" s="15"/>
    </row>
    <row r="214" spans="1:61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7"/>
      <c r="O214" s="17"/>
      <c r="P214" s="15"/>
      <c r="Q214" s="15"/>
      <c r="R214" s="15"/>
      <c r="S214" s="15"/>
      <c r="T214" s="15"/>
      <c r="U214" s="15"/>
      <c r="V214" s="17"/>
      <c r="W214" s="17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  <c r="BC214" s="15"/>
      <c r="BD214" s="15"/>
      <c r="BE214" s="15"/>
      <c r="BF214" s="15"/>
      <c r="BG214" s="15"/>
      <c r="BH214" s="15"/>
      <c r="BI214" s="15"/>
    </row>
    <row r="215" spans="1:61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7"/>
      <c r="O215" s="17"/>
      <c r="P215" s="15"/>
      <c r="Q215" s="15"/>
      <c r="R215" s="15"/>
      <c r="S215" s="15"/>
      <c r="T215" s="15"/>
      <c r="U215" s="15"/>
      <c r="V215" s="17"/>
      <c r="W215" s="17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  <c r="BH215" s="15"/>
      <c r="BI215" s="15"/>
    </row>
    <row r="216" spans="1:61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7"/>
      <c r="O216" s="17"/>
      <c r="P216" s="15"/>
      <c r="Q216" s="15"/>
      <c r="R216" s="15"/>
      <c r="S216" s="15"/>
      <c r="T216" s="15"/>
      <c r="U216" s="15"/>
      <c r="V216" s="17"/>
      <c r="W216" s="17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  <c r="BD216" s="15"/>
      <c r="BE216" s="15"/>
      <c r="BF216" s="15"/>
      <c r="BG216" s="15"/>
      <c r="BH216" s="15"/>
      <c r="BI216" s="15"/>
    </row>
    <row r="217" spans="1:61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7"/>
      <c r="O217" s="17"/>
      <c r="P217" s="15"/>
      <c r="Q217" s="15"/>
      <c r="R217" s="15"/>
      <c r="S217" s="15"/>
      <c r="T217" s="15"/>
      <c r="U217" s="15"/>
      <c r="V217" s="17"/>
      <c r="W217" s="17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  <c r="BH217" s="15"/>
      <c r="BI217" s="15"/>
    </row>
    <row r="218" spans="1:61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7"/>
      <c r="O218" s="17"/>
      <c r="P218" s="15"/>
      <c r="Q218" s="15"/>
      <c r="R218" s="15"/>
      <c r="S218" s="15"/>
      <c r="T218" s="15"/>
      <c r="U218" s="15"/>
      <c r="V218" s="17"/>
      <c r="W218" s="17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  <c r="BA218" s="15"/>
      <c r="BB218" s="15"/>
      <c r="BC218" s="15"/>
      <c r="BD218" s="15"/>
      <c r="BE218" s="15"/>
      <c r="BF218" s="15"/>
      <c r="BG218" s="15"/>
      <c r="BH218" s="15"/>
      <c r="BI218" s="15"/>
    </row>
    <row r="219" spans="1:61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7"/>
      <c r="O219" s="17"/>
      <c r="P219" s="15"/>
      <c r="Q219" s="15"/>
      <c r="R219" s="15"/>
      <c r="S219" s="15"/>
      <c r="T219" s="15"/>
      <c r="U219" s="15"/>
      <c r="V219" s="17"/>
      <c r="W219" s="17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  <c r="BH219" s="15"/>
      <c r="BI219" s="15"/>
    </row>
    <row r="220" spans="1:61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7"/>
      <c r="O220" s="17"/>
      <c r="P220" s="15"/>
      <c r="Q220" s="15"/>
      <c r="R220" s="15"/>
      <c r="S220" s="15"/>
      <c r="T220" s="15"/>
      <c r="U220" s="15"/>
      <c r="V220" s="17"/>
      <c r="W220" s="17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  <c r="AZ220" s="15"/>
      <c r="BA220" s="15"/>
      <c r="BB220" s="15"/>
      <c r="BC220" s="15"/>
      <c r="BD220" s="15"/>
      <c r="BE220" s="15"/>
      <c r="BF220" s="15"/>
      <c r="BG220" s="15"/>
      <c r="BH220" s="15"/>
      <c r="BI220" s="15"/>
    </row>
    <row r="221" spans="1:61" ht="15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7"/>
      <c r="O221" s="17"/>
      <c r="P221" s="15"/>
      <c r="Q221" s="15"/>
      <c r="R221" s="15"/>
      <c r="S221" s="15"/>
      <c r="T221" s="15"/>
      <c r="U221" s="15"/>
      <c r="V221" s="17"/>
      <c r="W221" s="17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  <c r="BB221" s="15"/>
      <c r="BC221" s="15"/>
      <c r="BD221" s="15"/>
      <c r="BE221" s="15"/>
      <c r="BF221" s="15"/>
      <c r="BG221" s="15"/>
      <c r="BH221" s="15"/>
      <c r="BI221" s="15"/>
    </row>
    <row r="222" spans="1:61" ht="15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7"/>
      <c r="O222" s="17"/>
      <c r="P222" s="15"/>
      <c r="Q222" s="15"/>
      <c r="R222" s="15"/>
      <c r="S222" s="15"/>
      <c r="T222" s="15"/>
      <c r="U222" s="15"/>
      <c r="V222" s="17"/>
      <c r="W222" s="17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  <c r="AZ222" s="15"/>
      <c r="BA222" s="15"/>
      <c r="BB222" s="15"/>
      <c r="BC222" s="15"/>
      <c r="BD222" s="15"/>
      <c r="BE222" s="15"/>
      <c r="BF222" s="15"/>
      <c r="BG222" s="15"/>
      <c r="BH222" s="15"/>
      <c r="BI222" s="15"/>
    </row>
    <row r="223" spans="1:61" ht="15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7"/>
      <c r="O223" s="17"/>
      <c r="P223" s="15"/>
      <c r="Q223" s="15"/>
      <c r="R223" s="15"/>
      <c r="S223" s="15"/>
      <c r="T223" s="15"/>
      <c r="U223" s="15"/>
      <c r="V223" s="17"/>
      <c r="W223" s="17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  <c r="BC223" s="15"/>
      <c r="BD223" s="15"/>
      <c r="BE223" s="15"/>
      <c r="BF223" s="15"/>
      <c r="BG223" s="15"/>
      <c r="BH223" s="15"/>
      <c r="BI223" s="15"/>
    </row>
    <row r="224" spans="1:61" ht="15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7"/>
      <c r="O224" s="17"/>
      <c r="P224" s="15"/>
      <c r="Q224" s="15"/>
      <c r="R224" s="15"/>
      <c r="S224" s="15"/>
      <c r="T224" s="15"/>
      <c r="U224" s="15"/>
      <c r="V224" s="17"/>
      <c r="W224" s="17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  <c r="AY224" s="15"/>
      <c r="AZ224" s="15"/>
      <c r="BA224" s="15"/>
      <c r="BB224" s="15"/>
      <c r="BC224" s="15"/>
      <c r="BD224" s="15"/>
      <c r="BE224" s="15"/>
      <c r="BF224" s="15"/>
      <c r="BG224" s="15"/>
      <c r="BH224" s="15"/>
      <c r="BI224" s="15"/>
    </row>
    <row r="225" spans="1:61" ht="15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7"/>
      <c r="O225" s="17"/>
      <c r="P225" s="15"/>
      <c r="Q225" s="15"/>
      <c r="R225" s="15"/>
      <c r="S225" s="15"/>
      <c r="T225" s="15"/>
      <c r="U225" s="15"/>
      <c r="V225" s="17"/>
      <c r="W225" s="17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  <c r="BC225" s="15"/>
      <c r="BD225" s="15"/>
      <c r="BE225" s="15"/>
      <c r="BF225" s="15"/>
      <c r="BG225" s="15"/>
      <c r="BH225" s="15"/>
      <c r="BI225" s="15"/>
    </row>
    <row r="226" spans="1:61" ht="15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7"/>
      <c r="O226" s="17"/>
      <c r="P226" s="15"/>
      <c r="Q226" s="15"/>
      <c r="R226" s="15"/>
      <c r="S226" s="15"/>
      <c r="T226" s="15"/>
      <c r="U226" s="15"/>
      <c r="V226" s="17"/>
      <c r="W226" s="17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5"/>
      <c r="AZ226" s="15"/>
      <c r="BA226" s="15"/>
      <c r="BB226" s="15"/>
      <c r="BC226" s="15"/>
      <c r="BD226" s="15"/>
      <c r="BE226" s="15"/>
      <c r="BF226" s="15"/>
      <c r="BG226" s="15"/>
      <c r="BH226" s="15"/>
      <c r="BI226" s="15"/>
    </row>
    <row r="227" spans="1:61" ht="15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7"/>
      <c r="O227" s="17"/>
      <c r="P227" s="15"/>
      <c r="Q227" s="15"/>
      <c r="R227" s="15"/>
      <c r="S227" s="15"/>
      <c r="T227" s="15"/>
      <c r="U227" s="15"/>
      <c r="V227" s="17"/>
      <c r="W227" s="17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  <c r="BA227" s="15"/>
      <c r="BB227" s="15"/>
      <c r="BC227" s="15"/>
      <c r="BD227" s="15"/>
      <c r="BE227" s="15"/>
      <c r="BF227" s="15"/>
      <c r="BG227" s="15"/>
      <c r="BH227" s="15"/>
      <c r="BI227" s="15"/>
    </row>
    <row r="228" spans="1:61" ht="15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7"/>
      <c r="O228" s="17"/>
      <c r="P228" s="15"/>
      <c r="Q228" s="15"/>
      <c r="R228" s="15"/>
      <c r="S228" s="15"/>
      <c r="T228" s="15"/>
      <c r="U228" s="15"/>
      <c r="V228" s="17"/>
      <c r="W228" s="17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  <c r="AY228" s="15"/>
      <c r="AZ228" s="15"/>
      <c r="BA228" s="15"/>
      <c r="BB228" s="15"/>
      <c r="BC228" s="15"/>
      <c r="BD228" s="15"/>
      <c r="BE228" s="15"/>
      <c r="BF228" s="15"/>
      <c r="BG228" s="15"/>
      <c r="BH228" s="15"/>
      <c r="BI228" s="15"/>
    </row>
    <row r="229" spans="1:61" ht="15.7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7"/>
      <c r="O229" s="17"/>
      <c r="P229" s="15"/>
      <c r="Q229" s="15"/>
      <c r="R229" s="15"/>
      <c r="S229" s="15"/>
      <c r="T229" s="15"/>
      <c r="U229" s="15"/>
      <c r="V229" s="17"/>
      <c r="W229" s="17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  <c r="BH229" s="15"/>
      <c r="BI229" s="15"/>
    </row>
    <row r="230" spans="1:61" ht="15.7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7"/>
      <c r="O230" s="17"/>
      <c r="P230" s="15"/>
      <c r="Q230" s="15"/>
      <c r="R230" s="15"/>
      <c r="S230" s="15"/>
      <c r="T230" s="15"/>
      <c r="U230" s="15"/>
      <c r="V230" s="17"/>
      <c r="W230" s="17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  <c r="AZ230" s="15"/>
      <c r="BA230" s="15"/>
      <c r="BB230" s="15"/>
      <c r="BC230" s="15"/>
      <c r="BD230" s="15"/>
      <c r="BE230" s="15"/>
      <c r="BF230" s="15"/>
      <c r="BG230" s="15"/>
      <c r="BH230" s="15"/>
      <c r="BI230" s="15"/>
    </row>
    <row r="231" spans="1:61" ht="15.7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7"/>
      <c r="O231" s="17"/>
      <c r="P231" s="15"/>
      <c r="Q231" s="15"/>
      <c r="R231" s="15"/>
      <c r="S231" s="15"/>
      <c r="T231" s="15"/>
      <c r="U231" s="15"/>
      <c r="V231" s="17"/>
      <c r="W231" s="17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s="15"/>
      <c r="BE231" s="15"/>
      <c r="BF231" s="15"/>
      <c r="BG231" s="15"/>
      <c r="BH231" s="15"/>
      <c r="BI231" s="15"/>
    </row>
    <row r="232" spans="1:61" ht="15.7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7"/>
      <c r="O232" s="17"/>
      <c r="P232" s="15"/>
      <c r="Q232" s="15"/>
      <c r="R232" s="15"/>
      <c r="S232" s="15"/>
      <c r="T232" s="15"/>
      <c r="U232" s="15"/>
      <c r="V232" s="17"/>
      <c r="W232" s="17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  <c r="AZ232" s="15"/>
      <c r="BA232" s="15"/>
      <c r="BB232" s="15"/>
      <c r="BC232" s="15"/>
      <c r="BD232" s="15"/>
      <c r="BE232" s="15"/>
      <c r="BF232" s="15"/>
      <c r="BG232" s="15"/>
      <c r="BH232" s="15"/>
      <c r="BI232" s="15"/>
    </row>
    <row r="233" spans="1:61" ht="15.7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7"/>
      <c r="O233" s="17"/>
      <c r="P233" s="15"/>
      <c r="Q233" s="15"/>
      <c r="R233" s="15"/>
      <c r="S233" s="15"/>
      <c r="T233" s="15"/>
      <c r="U233" s="15"/>
      <c r="V233" s="17"/>
      <c r="W233" s="17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  <c r="BC233" s="15"/>
      <c r="BD233" s="15"/>
      <c r="BE233" s="15"/>
      <c r="BF233" s="15"/>
      <c r="BG233" s="15"/>
      <c r="BH233" s="15"/>
      <c r="BI233" s="15"/>
    </row>
    <row r="234" spans="1:61" ht="15.7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7"/>
      <c r="O234" s="17"/>
      <c r="P234" s="15"/>
      <c r="Q234" s="15"/>
      <c r="R234" s="15"/>
      <c r="S234" s="15"/>
      <c r="T234" s="15"/>
      <c r="U234" s="15"/>
      <c r="V234" s="17"/>
      <c r="W234" s="17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  <c r="AY234" s="15"/>
      <c r="AZ234" s="15"/>
      <c r="BA234" s="15"/>
      <c r="BB234" s="15"/>
      <c r="BC234" s="15"/>
      <c r="BD234" s="15"/>
      <c r="BE234" s="15"/>
      <c r="BF234" s="15"/>
      <c r="BG234" s="15"/>
      <c r="BH234" s="15"/>
      <c r="BI234" s="15"/>
    </row>
    <row r="235" spans="1:61" ht="15.7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7"/>
      <c r="O235" s="17"/>
      <c r="P235" s="15"/>
      <c r="Q235" s="15"/>
      <c r="R235" s="15"/>
      <c r="S235" s="15"/>
      <c r="T235" s="15"/>
      <c r="U235" s="15"/>
      <c r="V235" s="17"/>
      <c r="W235" s="17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  <c r="BC235" s="15"/>
      <c r="BD235" s="15"/>
      <c r="BE235" s="15"/>
      <c r="BF235" s="15"/>
      <c r="BG235" s="15"/>
      <c r="BH235" s="15"/>
      <c r="BI235" s="15"/>
    </row>
    <row r="236" spans="1:61" ht="15.7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7"/>
      <c r="O236" s="17"/>
      <c r="P236" s="15"/>
      <c r="Q236" s="15"/>
      <c r="R236" s="15"/>
      <c r="S236" s="15"/>
      <c r="T236" s="15"/>
      <c r="U236" s="15"/>
      <c r="V236" s="17"/>
      <c r="W236" s="17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  <c r="AZ236" s="15"/>
      <c r="BA236" s="15"/>
      <c r="BB236" s="15"/>
      <c r="BC236" s="15"/>
      <c r="BD236" s="15"/>
      <c r="BE236" s="15"/>
      <c r="BF236" s="15"/>
      <c r="BG236" s="15"/>
      <c r="BH236" s="15"/>
      <c r="BI236" s="15"/>
    </row>
    <row r="237" spans="1:61" ht="15.7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7"/>
      <c r="O237" s="17"/>
      <c r="P237" s="15"/>
      <c r="Q237" s="15"/>
      <c r="R237" s="15"/>
      <c r="S237" s="15"/>
      <c r="T237" s="15"/>
      <c r="U237" s="15"/>
      <c r="V237" s="17"/>
      <c r="W237" s="17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  <c r="BD237" s="15"/>
      <c r="BE237" s="15"/>
      <c r="BF237" s="15"/>
      <c r="BG237" s="15"/>
      <c r="BH237" s="15"/>
      <c r="BI237" s="15"/>
    </row>
    <row r="238" spans="1:61" ht="15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7"/>
      <c r="O238" s="17"/>
      <c r="P238" s="15"/>
      <c r="Q238" s="15"/>
      <c r="R238" s="15"/>
      <c r="S238" s="15"/>
      <c r="T238" s="15"/>
      <c r="U238" s="15"/>
      <c r="V238" s="17"/>
      <c r="W238" s="17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  <c r="AZ238" s="15"/>
      <c r="BA238" s="15"/>
      <c r="BB238" s="15"/>
      <c r="BC238" s="15"/>
      <c r="BD238" s="15"/>
      <c r="BE238" s="15"/>
      <c r="BF238" s="15"/>
      <c r="BG238" s="15"/>
      <c r="BH238" s="15"/>
      <c r="BI238" s="15"/>
    </row>
    <row r="239" spans="1:61" ht="15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7"/>
      <c r="O239" s="17"/>
      <c r="P239" s="15"/>
      <c r="Q239" s="15"/>
      <c r="R239" s="15"/>
      <c r="S239" s="15"/>
      <c r="T239" s="15"/>
      <c r="U239" s="15"/>
      <c r="V239" s="17"/>
      <c r="W239" s="17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  <c r="BA239" s="15"/>
      <c r="BB239" s="15"/>
      <c r="BC239" s="15"/>
      <c r="BD239" s="15"/>
      <c r="BE239" s="15"/>
      <c r="BF239" s="15"/>
      <c r="BG239" s="15"/>
      <c r="BH239" s="15"/>
      <c r="BI239" s="15"/>
    </row>
    <row r="240" spans="1:61" ht="15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7"/>
      <c r="O240" s="17"/>
      <c r="P240" s="15"/>
      <c r="Q240" s="15"/>
      <c r="R240" s="15"/>
      <c r="S240" s="15"/>
      <c r="T240" s="15"/>
      <c r="U240" s="15"/>
      <c r="V240" s="17"/>
      <c r="W240" s="17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  <c r="AZ240" s="15"/>
      <c r="BA240" s="15"/>
      <c r="BB240" s="15"/>
      <c r="BC240" s="15"/>
      <c r="BD240" s="15"/>
      <c r="BE240" s="15"/>
      <c r="BF240" s="15"/>
      <c r="BG240" s="15"/>
      <c r="BH240" s="15"/>
      <c r="BI240" s="15"/>
    </row>
    <row r="241" spans="1:61" ht="15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7"/>
      <c r="O241" s="17"/>
      <c r="P241" s="15"/>
      <c r="Q241" s="15"/>
      <c r="R241" s="15"/>
      <c r="S241" s="15"/>
      <c r="T241" s="15"/>
      <c r="U241" s="15"/>
      <c r="V241" s="17"/>
      <c r="W241" s="17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  <c r="BD241" s="15"/>
      <c r="BE241" s="15"/>
      <c r="BF241" s="15"/>
      <c r="BG241" s="15"/>
      <c r="BH241" s="15"/>
      <c r="BI241" s="15"/>
    </row>
    <row r="242" spans="1:61" ht="15.7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7"/>
      <c r="O242" s="17"/>
      <c r="P242" s="15"/>
      <c r="Q242" s="15"/>
      <c r="R242" s="15"/>
      <c r="S242" s="15"/>
      <c r="T242" s="15"/>
      <c r="U242" s="15"/>
      <c r="V242" s="17"/>
      <c r="W242" s="17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  <c r="BC242" s="15"/>
      <c r="BD242" s="15"/>
      <c r="BE242" s="15"/>
      <c r="BF242" s="15"/>
      <c r="BG242" s="15"/>
      <c r="BH242" s="15"/>
      <c r="BI242" s="15"/>
    </row>
    <row r="243" spans="1:61" ht="15.7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7"/>
      <c r="O243" s="17"/>
      <c r="P243" s="15"/>
      <c r="Q243" s="15"/>
      <c r="R243" s="15"/>
      <c r="S243" s="15"/>
      <c r="T243" s="15"/>
      <c r="U243" s="15"/>
      <c r="V243" s="17"/>
      <c r="W243" s="17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  <c r="BA243" s="15"/>
      <c r="BB243" s="15"/>
      <c r="BC243" s="15"/>
      <c r="BD243" s="15"/>
      <c r="BE243" s="15"/>
      <c r="BF243" s="15"/>
      <c r="BG243" s="15"/>
      <c r="BH243" s="15"/>
      <c r="BI243" s="15"/>
    </row>
    <row r="244" spans="1:61" ht="15.7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7"/>
      <c r="O244" s="17"/>
      <c r="P244" s="15"/>
      <c r="Q244" s="15"/>
      <c r="R244" s="15"/>
      <c r="S244" s="15"/>
      <c r="T244" s="15"/>
      <c r="U244" s="15"/>
      <c r="V244" s="17"/>
      <c r="W244" s="17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  <c r="AX244" s="15"/>
      <c r="AY244" s="15"/>
      <c r="AZ244" s="15"/>
      <c r="BA244" s="15"/>
      <c r="BB244" s="15"/>
      <c r="BC244" s="15"/>
      <c r="BD244" s="15"/>
      <c r="BE244" s="15"/>
      <c r="BF244" s="15"/>
      <c r="BG244" s="15"/>
      <c r="BH244" s="15"/>
      <c r="BI244" s="15"/>
    </row>
    <row r="245" spans="1:61" ht="15.7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7"/>
      <c r="O245" s="17"/>
      <c r="P245" s="15"/>
      <c r="Q245" s="15"/>
      <c r="R245" s="15"/>
      <c r="S245" s="15"/>
      <c r="T245" s="15"/>
      <c r="U245" s="15"/>
      <c r="V245" s="17"/>
      <c r="W245" s="17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  <c r="BA245" s="15"/>
      <c r="BB245" s="15"/>
      <c r="BC245" s="15"/>
      <c r="BD245" s="15"/>
      <c r="BE245" s="15"/>
      <c r="BF245" s="15"/>
      <c r="BG245" s="15"/>
      <c r="BH245" s="15"/>
      <c r="BI245" s="15"/>
    </row>
    <row r="246" spans="1:61" ht="15.7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7"/>
      <c r="O246" s="17"/>
      <c r="P246" s="15"/>
      <c r="Q246" s="15"/>
      <c r="R246" s="15"/>
      <c r="S246" s="15"/>
      <c r="T246" s="15"/>
      <c r="U246" s="15"/>
      <c r="V246" s="17"/>
      <c r="W246" s="17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  <c r="AY246" s="15"/>
      <c r="AZ246" s="15"/>
      <c r="BA246" s="15"/>
      <c r="BB246" s="15"/>
      <c r="BC246" s="15"/>
      <c r="BD246" s="15"/>
      <c r="BE246" s="15"/>
      <c r="BF246" s="15"/>
      <c r="BG246" s="15"/>
      <c r="BH246" s="15"/>
      <c r="BI246" s="15"/>
    </row>
    <row r="247" spans="1:61" ht="15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7"/>
      <c r="O247" s="17"/>
      <c r="P247" s="15"/>
      <c r="Q247" s="15"/>
      <c r="R247" s="15"/>
      <c r="S247" s="15"/>
      <c r="T247" s="15"/>
      <c r="U247" s="15"/>
      <c r="V247" s="17"/>
      <c r="W247" s="17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  <c r="AY247" s="15"/>
      <c r="AZ247" s="15"/>
      <c r="BA247" s="15"/>
      <c r="BB247" s="15"/>
      <c r="BC247" s="15"/>
      <c r="BD247" s="15"/>
      <c r="BE247" s="15"/>
      <c r="BF247" s="15"/>
      <c r="BG247" s="15"/>
      <c r="BH247" s="15"/>
      <c r="BI247" s="15"/>
    </row>
    <row r="248" spans="1:61" ht="15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7"/>
      <c r="O248" s="17"/>
      <c r="P248" s="15"/>
      <c r="Q248" s="15"/>
      <c r="R248" s="15"/>
      <c r="S248" s="15"/>
      <c r="T248" s="15"/>
      <c r="U248" s="15"/>
      <c r="V248" s="17"/>
      <c r="W248" s="17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  <c r="AX248" s="15"/>
      <c r="AY248" s="15"/>
      <c r="AZ248" s="15"/>
      <c r="BA248" s="15"/>
      <c r="BB248" s="15"/>
      <c r="BC248" s="15"/>
      <c r="BD248" s="15"/>
      <c r="BE248" s="15"/>
      <c r="BF248" s="15"/>
      <c r="BG248" s="15"/>
      <c r="BH248" s="15"/>
      <c r="BI248" s="15"/>
    </row>
    <row r="249" spans="1:61" ht="15.7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7"/>
      <c r="O249" s="17"/>
      <c r="P249" s="15"/>
      <c r="Q249" s="15"/>
      <c r="R249" s="15"/>
      <c r="S249" s="15"/>
      <c r="T249" s="15"/>
      <c r="U249" s="15"/>
      <c r="V249" s="17"/>
      <c r="W249" s="17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  <c r="AZ249" s="15"/>
      <c r="BA249" s="15"/>
      <c r="BB249" s="15"/>
      <c r="BC249" s="15"/>
      <c r="BD249" s="15"/>
      <c r="BE249" s="15"/>
      <c r="BF249" s="15"/>
      <c r="BG249" s="15"/>
      <c r="BH249" s="15"/>
      <c r="BI249" s="15"/>
    </row>
    <row r="250" spans="1:61" ht="15.7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7"/>
      <c r="O250" s="17"/>
      <c r="P250" s="15"/>
      <c r="Q250" s="15"/>
      <c r="R250" s="15"/>
      <c r="S250" s="15"/>
      <c r="T250" s="15"/>
      <c r="U250" s="15"/>
      <c r="V250" s="17"/>
      <c r="W250" s="17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  <c r="AY250" s="15"/>
      <c r="AZ250" s="15"/>
      <c r="BA250" s="15"/>
      <c r="BB250" s="15"/>
      <c r="BC250" s="15"/>
      <c r="BD250" s="15"/>
      <c r="BE250" s="15"/>
      <c r="BF250" s="15"/>
      <c r="BG250" s="15"/>
      <c r="BH250" s="15"/>
      <c r="BI250" s="15"/>
    </row>
    <row r="251" spans="1:61" ht="15.7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7"/>
      <c r="O251" s="17"/>
      <c r="P251" s="15"/>
      <c r="Q251" s="15"/>
      <c r="R251" s="15"/>
      <c r="S251" s="15"/>
      <c r="T251" s="15"/>
      <c r="U251" s="15"/>
      <c r="V251" s="17"/>
      <c r="W251" s="17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  <c r="AZ251" s="15"/>
      <c r="BA251" s="15"/>
      <c r="BB251" s="15"/>
      <c r="BC251" s="15"/>
      <c r="BD251" s="15"/>
      <c r="BE251" s="15"/>
      <c r="BF251" s="15"/>
      <c r="BG251" s="15"/>
      <c r="BH251" s="15"/>
      <c r="BI251" s="15"/>
    </row>
    <row r="252" spans="1:61" ht="15.7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7"/>
      <c r="O252" s="17"/>
      <c r="P252" s="15"/>
      <c r="Q252" s="15"/>
      <c r="R252" s="15"/>
      <c r="S252" s="15"/>
      <c r="T252" s="15"/>
      <c r="U252" s="15"/>
      <c r="V252" s="17"/>
      <c r="W252" s="17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  <c r="AX252" s="15"/>
      <c r="AY252" s="15"/>
      <c r="AZ252" s="15"/>
      <c r="BA252" s="15"/>
      <c r="BB252" s="15"/>
      <c r="BC252" s="15"/>
      <c r="BD252" s="15"/>
      <c r="BE252" s="15"/>
      <c r="BF252" s="15"/>
      <c r="BG252" s="15"/>
      <c r="BH252" s="15"/>
      <c r="BI252" s="15"/>
    </row>
    <row r="253" spans="1:61" ht="15.7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7"/>
      <c r="O253" s="17"/>
      <c r="P253" s="15"/>
      <c r="Q253" s="15"/>
      <c r="R253" s="15"/>
      <c r="S253" s="15"/>
      <c r="T253" s="15"/>
      <c r="U253" s="15"/>
      <c r="V253" s="17"/>
      <c r="W253" s="17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  <c r="AY253" s="15"/>
      <c r="AZ253" s="15"/>
      <c r="BA253" s="15"/>
      <c r="BB253" s="15"/>
      <c r="BC253" s="15"/>
      <c r="BD253" s="15"/>
      <c r="BE253" s="15"/>
      <c r="BF253" s="15"/>
      <c r="BG253" s="15"/>
      <c r="BH253" s="15"/>
      <c r="BI253" s="15"/>
    </row>
    <row r="254" spans="1:61" ht="15.7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7"/>
      <c r="O254" s="17"/>
      <c r="P254" s="15"/>
      <c r="Q254" s="15"/>
      <c r="R254" s="15"/>
      <c r="S254" s="15"/>
      <c r="T254" s="15"/>
      <c r="U254" s="15"/>
      <c r="V254" s="17"/>
      <c r="W254" s="17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  <c r="AV254" s="15"/>
      <c r="AW254" s="15"/>
      <c r="AX254" s="15"/>
      <c r="AY254" s="15"/>
      <c r="AZ254" s="15"/>
      <c r="BA254" s="15"/>
      <c r="BB254" s="15"/>
      <c r="BC254" s="15"/>
      <c r="BD254" s="15"/>
      <c r="BE254" s="15"/>
      <c r="BF254" s="15"/>
      <c r="BG254" s="15"/>
      <c r="BH254" s="15"/>
      <c r="BI254" s="15"/>
    </row>
    <row r="255" spans="1:61" ht="15.7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7"/>
      <c r="O255" s="17"/>
      <c r="P255" s="15"/>
      <c r="Q255" s="15"/>
      <c r="R255" s="15"/>
      <c r="S255" s="15"/>
      <c r="T255" s="15"/>
      <c r="U255" s="15"/>
      <c r="V255" s="17"/>
      <c r="W255" s="17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  <c r="AY255" s="15"/>
      <c r="AZ255" s="15"/>
      <c r="BA255" s="15"/>
      <c r="BB255" s="15"/>
      <c r="BC255" s="15"/>
      <c r="BD255" s="15"/>
      <c r="BE255" s="15"/>
      <c r="BF255" s="15"/>
      <c r="BG255" s="15"/>
      <c r="BH255" s="15"/>
      <c r="BI255" s="15"/>
    </row>
    <row r="256" spans="1:61" ht="15.7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7"/>
      <c r="O256" s="17"/>
      <c r="P256" s="15"/>
      <c r="Q256" s="15"/>
      <c r="R256" s="15"/>
      <c r="S256" s="15"/>
      <c r="T256" s="15"/>
      <c r="U256" s="15"/>
      <c r="V256" s="17"/>
      <c r="W256" s="17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  <c r="AX256" s="15"/>
      <c r="AY256" s="15"/>
      <c r="AZ256" s="15"/>
      <c r="BA256" s="15"/>
      <c r="BB256" s="15"/>
      <c r="BC256" s="15"/>
      <c r="BD256" s="15"/>
      <c r="BE256" s="15"/>
      <c r="BF256" s="15"/>
      <c r="BG256" s="15"/>
      <c r="BH256" s="15"/>
      <c r="BI256" s="15"/>
    </row>
    <row r="257" spans="1:61" ht="15.7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7"/>
      <c r="O257" s="17"/>
      <c r="P257" s="15"/>
      <c r="Q257" s="15"/>
      <c r="R257" s="15"/>
      <c r="S257" s="15"/>
      <c r="T257" s="15"/>
      <c r="U257" s="15"/>
      <c r="V257" s="17"/>
      <c r="W257" s="17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  <c r="AY257" s="15"/>
      <c r="AZ257" s="15"/>
      <c r="BA257" s="15"/>
      <c r="BB257" s="15"/>
      <c r="BC257" s="15"/>
      <c r="BD257" s="15"/>
      <c r="BE257" s="15"/>
      <c r="BF257" s="15"/>
      <c r="BG257" s="15"/>
      <c r="BH257" s="15"/>
      <c r="BI257" s="15"/>
    </row>
    <row r="258" spans="1:61" ht="15.7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7"/>
      <c r="O258" s="17"/>
      <c r="P258" s="15"/>
      <c r="Q258" s="15"/>
      <c r="R258" s="15"/>
      <c r="S258" s="15"/>
      <c r="T258" s="15"/>
      <c r="U258" s="15"/>
      <c r="V258" s="17"/>
      <c r="W258" s="17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  <c r="AX258" s="15"/>
      <c r="AY258" s="15"/>
      <c r="AZ258" s="15"/>
      <c r="BA258" s="15"/>
      <c r="BB258" s="15"/>
      <c r="BC258" s="15"/>
      <c r="BD258" s="15"/>
      <c r="BE258" s="15"/>
      <c r="BF258" s="15"/>
      <c r="BG258" s="15"/>
      <c r="BH258" s="15"/>
      <c r="BI258" s="15"/>
    </row>
    <row r="259" spans="1:61" ht="15.7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7"/>
      <c r="O259" s="17"/>
      <c r="P259" s="15"/>
      <c r="Q259" s="15"/>
      <c r="R259" s="15"/>
      <c r="S259" s="15"/>
      <c r="T259" s="15"/>
      <c r="U259" s="15"/>
      <c r="V259" s="17"/>
      <c r="W259" s="17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  <c r="AZ259" s="15"/>
      <c r="BA259" s="15"/>
      <c r="BB259" s="15"/>
      <c r="BC259" s="15"/>
      <c r="BD259" s="15"/>
      <c r="BE259" s="15"/>
      <c r="BF259" s="15"/>
      <c r="BG259" s="15"/>
      <c r="BH259" s="15"/>
      <c r="BI259" s="15"/>
    </row>
    <row r="260" spans="1:61" ht="15.7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7"/>
      <c r="O260" s="17"/>
      <c r="P260" s="15"/>
      <c r="Q260" s="15"/>
      <c r="R260" s="15"/>
      <c r="S260" s="15"/>
      <c r="T260" s="15"/>
      <c r="U260" s="15"/>
      <c r="V260" s="17"/>
      <c r="W260" s="17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  <c r="AX260" s="15"/>
      <c r="AY260" s="15"/>
      <c r="AZ260" s="15"/>
      <c r="BA260" s="15"/>
      <c r="BB260" s="15"/>
      <c r="BC260" s="15"/>
      <c r="BD260" s="15"/>
      <c r="BE260" s="15"/>
      <c r="BF260" s="15"/>
      <c r="BG260" s="15"/>
      <c r="BH260" s="15"/>
      <c r="BI260" s="15"/>
    </row>
    <row r="261" spans="1:61" ht="15.7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7"/>
      <c r="O261" s="17"/>
      <c r="P261" s="15"/>
      <c r="Q261" s="15"/>
      <c r="R261" s="15"/>
      <c r="S261" s="15"/>
      <c r="T261" s="15"/>
      <c r="U261" s="15"/>
      <c r="V261" s="17"/>
      <c r="W261" s="17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  <c r="BH261" s="15"/>
      <c r="BI261" s="15"/>
    </row>
    <row r="262" spans="1:61" ht="15.7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7"/>
      <c r="O262" s="17"/>
      <c r="P262" s="15"/>
      <c r="Q262" s="15"/>
      <c r="R262" s="15"/>
      <c r="S262" s="15"/>
      <c r="T262" s="15"/>
      <c r="U262" s="15"/>
      <c r="V262" s="17"/>
      <c r="W262" s="17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  <c r="AW262" s="15"/>
      <c r="AX262" s="15"/>
      <c r="AY262" s="15"/>
      <c r="AZ262" s="15"/>
      <c r="BA262" s="15"/>
      <c r="BB262" s="15"/>
      <c r="BC262" s="15"/>
      <c r="BD262" s="15"/>
      <c r="BE262" s="15"/>
      <c r="BF262" s="15"/>
      <c r="BG262" s="15"/>
      <c r="BH262" s="15"/>
      <c r="BI262" s="15"/>
    </row>
    <row r="263" spans="1:61" ht="15.7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7"/>
      <c r="O263" s="17"/>
      <c r="P263" s="15"/>
      <c r="Q263" s="15"/>
      <c r="R263" s="15"/>
      <c r="S263" s="15"/>
      <c r="T263" s="15"/>
      <c r="U263" s="15"/>
      <c r="V263" s="17"/>
      <c r="W263" s="17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  <c r="AZ263" s="15"/>
      <c r="BA263" s="15"/>
      <c r="BB263" s="15"/>
      <c r="BC263" s="15"/>
      <c r="BD263" s="15"/>
      <c r="BE263" s="15"/>
      <c r="BF263" s="15"/>
      <c r="BG263" s="15"/>
      <c r="BH263" s="15"/>
      <c r="BI263" s="15"/>
    </row>
    <row r="264" spans="1:61" ht="15.7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7"/>
      <c r="O264" s="17"/>
      <c r="P264" s="15"/>
      <c r="Q264" s="15"/>
      <c r="R264" s="15"/>
      <c r="S264" s="15"/>
      <c r="T264" s="15"/>
      <c r="U264" s="15"/>
      <c r="V264" s="17"/>
      <c r="W264" s="17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  <c r="AX264" s="15"/>
      <c r="AY264" s="15"/>
      <c r="AZ264" s="15"/>
      <c r="BA264" s="15"/>
      <c r="BB264" s="15"/>
      <c r="BC264" s="15"/>
      <c r="BD264" s="15"/>
      <c r="BE264" s="15"/>
      <c r="BF264" s="15"/>
      <c r="BG264" s="15"/>
      <c r="BH264" s="15"/>
      <c r="BI264" s="15"/>
    </row>
    <row r="265" spans="1:61" ht="15.7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7"/>
      <c r="O265" s="17"/>
      <c r="P265" s="15"/>
      <c r="Q265" s="15"/>
      <c r="R265" s="15"/>
      <c r="S265" s="15"/>
      <c r="T265" s="15"/>
      <c r="U265" s="15"/>
      <c r="V265" s="17"/>
      <c r="W265" s="17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  <c r="AZ265" s="15"/>
      <c r="BA265" s="15"/>
      <c r="BB265" s="15"/>
      <c r="BC265" s="15"/>
      <c r="BD265" s="15"/>
      <c r="BE265" s="15"/>
      <c r="BF265" s="15"/>
      <c r="BG265" s="15"/>
      <c r="BH265" s="15"/>
      <c r="BI265" s="15"/>
    </row>
    <row r="266" spans="1:61" ht="15.7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7"/>
      <c r="O266" s="17"/>
      <c r="P266" s="15"/>
      <c r="Q266" s="15"/>
      <c r="R266" s="15"/>
      <c r="S266" s="15"/>
      <c r="T266" s="15"/>
      <c r="U266" s="15"/>
      <c r="V266" s="17"/>
      <c r="W266" s="17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  <c r="AX266" s="15"/>
      <c r="AY266" s="15"/>
      <c r="AZ266" s="15"/>
      <c r="BA266" s="15"/>
      <c r="BB266" s="15"/>
      <c r="BC266" s="15"/>
      <c r="BD266" s="15"/>
      <c r="BE266" s="15"/>
      <c r="BF266" s="15"/>
      <c r="BG266" s="15"/>
      <c r="BH266" s="15"/>
      <c r="BI266" s="15"/>
    </row>
    <row r="267" spans="1:61" ht="15.7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7"/>
      <c r="O267" s="17"/>
      <c r="P267" s="15"/>
      <c r="Q267" s="15"/>
      <c r="R267" s="15"/>
      <c r="S267" s="15"/>
      <c r="T267" s="15"/>
      <c r="U267" s="15"/>
      <c r="V267" s="17"/>
      <c r="W267" s="17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  <c r="AZ267" s="15"/>
      <c r="BA267" s="15"/>
      <c r="BB267" s="15"/>
      <c r="BC267" s="15"/>
      <c r="BD267" s="15"/>
      <c r="BE267" s="15"/>
      <c r="BF267" s="15"/>
      <c r="BG267" s="15"/>
      <c r="BH267" s="15"/>
      <c r="BI267" s="15"/>
    </row>
    <row r="268" spans="1:61" ht="15.7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7"/>
      <c r="O268" s="17"/>
      <c r="P268" s="15"/>
      <c r="Q268" s="15"/>
      <c r="R268" s="15"/>
      <c r="S268" s="15"/>
      <c r="T268" s="15"/>
      <c r="U268" s="15"/>
      <c r="V268" s="17"/>
      <c r="W268" s="17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  <c r="BD268" s="15"/>
      <c r="BE268" s="15"/>
      <c r="BF268" s="15"/>
      <c r="BG268" s="15"/>
      <c r="BH268" s="15"/>
      <c r="BI268" s="15"/>
    </row>
    <row r="269" spans="1:61" ht="15.7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7"/>
      <c r="O269" s="17"/>
      <c r="P269" s="15"/>
      <c r="Q269" s="15"/>
      <c r="R269" s="15"/>
      <c r="S269" s="15"/>
      <c r="T269" s="15"/>
      <c r="U269" s="15"/>
      <c r="V269" s="17"/>
      <c r="W269" s="17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  <c r="AY269" s="15"/>
      <c r="AZ269" s="15"/>
      <c r="BA269" s="15"/>
      <c r="BB269" s="15"/>
      <c r="BC269" s="15"/>
      <c r="BD269" s="15"/>
      <c r="BE269" s="15"/>
      <c r="BF269" s="15"/>
      <c r="BG269" s="15"/>
      <c r="BH269" s="15"/>
      <c r="BI269" s="15"/>
    </row>
    <row r="270" spans="1:61" ht="15.7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7"/>
      <c r="O270" s="17"/>
      <c r="P270" s="15"/>
      <c r="Q270" s="15"/>
      <c r="R270" s="15"/>
      <c r="S270" s="15"/>
      <c r="T270" s="15"/>
      <c r="U270" s="15"/>
      <c r="V270" s="17"/>
      <c r="W270" s="17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  <c r="AW270" s="15"/>
      <c r="AX270" s="15"/>
      <c r="AY270" s="15"/>
      <c r="AZ270" s="15"/>
      <c r="BA270" s="15"/>
      <c r="BB270" s="15"/>
      <c r="BC270" s="15"/>
      <c r="BD270" s="15"/>
      <c r="BE270" s="15"/>
      <c r="BF270" s="15"/>
      <c r="BG270" s="15"/>
      <c r="BH270" s="15"/>
      <c r="BI270" s="15"/>
    </row>
    <row r="271" spans="1:61" ht="15.7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7"/>
      <c r="O271" s="17"/>
      <c r="P271" s="15"/>
      <c r="Q271" s="15"/>
      <c r="R271" s="15"/>
      <c r="S271" s="15"/>
      <c r="T271" s="15"/>
      <c r="U271" s="15"/>
      <c r="V271" s="17"/>
      <c r="W271" s="17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  <c r="AZ271" s="15"/>
      <c r="BA271" s="15"/>
      <c r="BB271" s="15"/>
      <c r="BC271" s="15"/>
      <c r="BD271" s="15"/>
      <c r="BE271" s="15"/>
      <c r="BF271" s="15"/>
      <c r="BG271" s="15"/>
      <c r="BH271" s="15"/>
      <c r="BI271" s="15"/>
    </row>
    <row r="272" spans="1:61" ht="15.7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7"/>
      <c r="O272" s="17"/>
      <c r="P272" s="15"/>
      <c r="Q272" s="15"/>
      <c r="R272" s="15"/>
      <c r="S272" s="15"/>
      <c r="T272" s="15"/>
      <c r="U272" s="15"/>
      <c r="V272" s="17"/>
      <c r="W272" s="17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5"/>
      <c r="AY272" s="15"/>
      <c r="AZ272" s="15"/>
      <c r="BA272" s="15"/>
      <c r="BB272" s="15"/>
      <c r="BC272" s="15"/>
      <c r="BD272" s="15"/>
      <c r="BE272" s="15"/>
      <c r="BF272" s="15"/>
      <c r="BG272" s="15"/>
      <c r="BH272" s="15"/>
      <c r="BI272" s="15"/>
    </row>
    <row r="273" spans="1:61" ht="15.7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7"/>
      <c r="O273" s="17"/>
      <c r="P273" s="15"/>
      <c r="Q273" s="15"/>
      <c r="R273" s="15"/>
      <c r="S273" s="15"/>
      <c r="T273" s="15"/>
      <c r="U273" s="15"/>
      <c r="V273" s="17"/>
      <c r="W273" s="17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  <c r="AZ273" s="15"/>
      <c r="BA273" s="15"/>
      <c r="BB273" s="15"/>
      <c r="BC273" s="15"/>
      <c r="BD273" s="15"/>
      <c r="BE273" s="15"/>
      <c r="BF273" s="15"/>
      <c r="BG273" s="15"/>
      <c r="BH273" s="15"/>
      <c r="BI273" s="15"/>
    </row>
    <row r="274" spans="1:61" ht="15.7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7"/>
      <c r="O274" s="17"/>
      <c r="P274" s="15"/>
      <c r="Q274" s="15"/>
      <c r="R274" s="15"/>
      <c r="S274" s="15"/>
      <c r="T274" s="15"/>
      <c r="U274" s="15"/>
      <c r="V274" s="17"/>
      <c r="W274" s="17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  <c r="AX274" s="15"/>
      <c r="AY274" s="15"/>
      <c r="AZ274" s="15"/>
      <c r="BA274" s="15"/>
      <c r="BB274" s="15"/>
      <c r="BC274" s="15"/>
      <c r="BD274" s="15"/>
      <c r="BE274" s="15"/>
      <c r="BF274" s="15"/>
      <c r="BG274" s="15"/>
      <c r="BH274" s="15"/>
      <c r="BI274" s="15"/>
    </row>
    <row r="275" spans="1:61" ht="15.7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7"/>
      <c r="O275" s="17"/>
      <c r="P275" s="15"/>
      <c r="Q275" s="15"/>
      <c r="R275" s="15"/>
      <c r="S275" s="15"/>
      <c r="T275" s="15"/>
      <c r="U275" s="15"/>
      <c r="V275" s="17"/>
      <c r="W275" s="17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  <c r="AY275" s="15"/>
      <c r="AZ275" s="15"/>
      <c r="BA275" s="15"/>
      <c r="BB275" s="15"/>
      <c r="BC275" s="15"/>
      <c r="BD275" s="15"/>
      <c r="BE275" s="15"/>
      <c r="BF275" s="15"/>
      <c r="BG275" s="15"/>
      <c r="BH275" s="15"/>
      <c r="BI275" s="15"/>
    </row>
    <row r="276" spans="1:61" ht="15.7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7"/>
      <c r="O276" s="17"/>
      <c r="P276" s="15"/>
      <c r="Q276" s="15"/>
      <c r="R276" s="15"/>
      <c r="S276" s="15"/>
      <c r="T276" s="15"/>
      <c r="U276" s="15"/>
      <c r="V276" s="17"/>
      <c r="W276" s="17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  <c r="AX276" s="15"/>
      <c r="AY276" s="15"/>
      <c r="AZ276" s="15"/>
      <c r="BA276" s="15"/>
      <c r="BB276" s="15"/>
      <c r="BC276" s="15"/>
      <c r="BD276" s="15"/>
      <c r="BE276" s="15"/>
      <c r="BF276" s="15"/>
      <c r="BG276" s="15"/>
      <c r="BH276" s="15"/>
      <c r="BI276" s="15"/>
    </row>
    <row r="277" spans="1:61" ht="15.7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7"/>
      <c r="O277" s="17"/>
      <c r="P277" s="15"/>
      <c r="Q277" s="15"/>
      <c r="R277" s="15"/>
      <c r="S277" s="15"/>
      <c r="T277" s="15"/>
      <c r="U277" s="15"/>
      <c r="V277" s="17"/>
      <c r="W277" s="17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5"/>
      <c r="AZ277" s="15"/>
      <c r="BA277" s="15"/>
      <c r="BB277" s="15"/>
      <c r="BC277" s="15"/>
      <c r="BD277" s="15"/>
      <c r="BE277" s="15"/>
      <c r="BF277" s="15"/>
      <c r="BG277" s="15"/>
      <c r="BH277" s="15"/>
      <c r="BI277" s="15"/>
    </row>
    <row r="278" spans="1:61" ht="15.7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7"/>
      <c r="O278" s="17"/>
      <c r="P278" s="15"/>
      <c r="Q278" s="15"/>
      <c r="R278" s="15"/>
      <c r="S278" s="15"/>
      <c r="T278" s="15"/>
      <c r="U278" s="15"/>
      <c r="V278" s="17"/>
      <c r="W278" s="17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  <c r="AV278" s="15"/>
      <c r="AW278" s="15"/>
      <c r="AX278" s="15"/>
      <c r="AY278" s="15"/>
      <c r="AZ278" s="15"/>
      <c r="BA278" s="15"/>
      <c r="BB278" s="15"/>
      <c r="BC278" s="15"/>
      <c r="BD278" s="15"/>
      <c r="BE278" s="15"/>
      <c r="BF278" s="15"/>
      <c r="BG278" s="15"/>
      <c r="BH278" s="15"/>
      <c r="BI278" s="15"/>
    </row>
    <row r="279" spans="1:61" ht="15.7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7"/>
      <c r="O279" s="17"/>
      <c r="P279" s="15"/>
      <c r="Q279" s="15"/>
      <c r="R279" s="15"/>
      <c r="S279" s="15"/>
      <c r="T279" s="15"/>
      <c r="U279" s="15"/>
      <c r="V279" s="17"/>
      <c r="W279" s="17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  <c r="AY279" s="15"/>
      <c r="AZ279" s="15"/>
      <c r="BA279" s="15"/>
      <c r="BB279" s="15"/>
      <c r="BC279" s="15"/>
      <c r="BD279" s="15"/>
      <c r="BE279" s="15"/>
      <c r="BF279" s="15"/>
      <c r="BG279" s="15"/>
      <c r="BH279" s="15"/>
      <c r="BI279" s="15"/>
    </row>
    <row r="280" spans="1:61" ht="15.7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7"/>
      <c r="O280" s="17"/>
      <c r="P280" s="15"/>
      <c r="Q280" s="15"/>
      <c r="R280" s="15"/>
      <c r="S280" s="15"/>
      <c r="T280" s="15"/>
      <c r="U280" s="15"/>
      <c r="V280" s="17"/>
      <c r="W280" s="17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  <c r="AV280" s="15"/>
      <c r="AW280" s="15"/>
      <c r="AX280" s="15"/>
      <c r="AY280" s="15"/>
      <c r="AZ280" s="15"/>
      <c r="BA280" s="15"/>
      <c r="BB280" s="15"/>
      <c r="BC280" s="15"/>
      <c r="BD280" s="15"/>
      <c r="BE280" s="15"/>
      <c r="BF280" s="15"/>
      <c r="BG280" s="15"/>
      <c r="BH280" s="15"/>
      <c r="BI280" s="15"/>
    </row>
    <row r="281" spans="1:61" ht="15.7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7"/>
      <c r="O281" s="17"/>
      <c r="P281" s="15"/>
      <c r="Q281" s="15"/>
      <c r="R281" s="15"/>
      <c r="S281" s="15"/>
      <c r="T281" s="15"/>
      <c r="U281" s="15"/>
      <c r="V281" s="17"/>
      <c r="W281" s="17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  <c r="AZ281" s="15"/>
      <c r="BA281" s="15"/>
      <c r="BB281" s="15"/>
      <c r="BC281" s="15"/>
      <c r="BD281" s="15"/>
      <c r="BE281" s="15"/>
      <c r="BF281" s="15"/>
      <c r="BG281" s="15"/>
      <c r="BH281" s="15"/>
      <c r="BI281" s="15"/>
    </row>
    <row r="282" spans="1:61" ht="15.7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7"/>
      <c r="O282" s="17"/>
      <c r="P282" s="15"/>
      <c r="Q282" s="15"/>
      <c r="R282" s="15"/>
      <c r="S282" s="15"/>
      <c r="T282" s="15"/>
      <c r="U282" s="15"/>
      <c r="V282" s="17"/>
      <c r="W282" s="17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  <c r="AV282" s="15"/>
      <c r="AW282" s="15"/>
      <c r="AX282" s="15"/>
      <c r="AY282" s="15"/>
      <c r="AZ282" s="15"/>
      <c r="BA282" s="15"/>
      <c r="BB282" s="15"/>
      <c r="BC282" s="15"/>
      <c r="BD282" s="15"/>
      <c r="BE282" s="15"/>
      <c r="BF282" s="15"/>
      <c r="BG282" s="15"/>
      <c r="BH282" s="15"/>
      <c r="BI282" s="15"/>
    </row>
    <row r="283" spans="1:61" ht="15.7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7"/>
      <c r="O283" s="17"/>
      <c r="P283" s="15"/>
      <c r="Q283" s="15"/>
      <c r="R283" s="15"/>
      <c r="S283" s="15"/>
      <c r="T283" s="15"/>
      <c r="U283" s="15"/>
      <c r="V283" s="17"/>
      <c r="W283" s="17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  <c r="AZ283" s="15"/>
      <c r="BA283" s="15"/>
      <c r="BB283" s="15"/>
      <c r="BC283" s="15"/>
      <c r="BD283" s="15"/>
      <c r="BE283" s="15"/>
      <c r="BF283" s="15"/>
      <c r="BG283" s="15"/>
      <c r="BH283" s="15"/>
      <c r="BI283" s="15"/>
    </row>
    <row r="284" spans="1:61" ht="15.7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7"/>
      <c r="O284" s="17"/>
      <c r="P284" s="15"/>
      <c r="Q284" s="15"/>
      <c r="R284" s="15"/>
      <c r="S284" s="15"/>
      <c r="T284" s="15"/>
      <c r="U284" s="15"/>
      <c r="V284" s="17"/>
      <c r="W284" s="17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  <c r="AX284" s="15"/>
      <c r="AY284" s="15"/>
      <c r="AZ284" s="15"/>
      <c r="BA284" s="15"/>
      <c r="BB284" s="15"/>
      <c r="BC284" s="15"/>
      <c r="BD284" s="15"/>
      <c r="BE284" s="15"/>
      <c r="BF284" s="15"/>
      <c r="BG284" s="15"/>
      <c r="BH284" s="15"/>
      <c r="BI284" s="15"/>
    </row>
    <row r="285" spans="1:61" ht="15.7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7"/>
      <c r="O285" s="17"/>
      <c r="P285" s="15"/>
      <c r="Q285" s="15"/>
      <c r="R285" s="15"/>
      <c r="S285" s="15"/>
      <c r="T285" s="15"/>
      <c r="U285" s="15"/>
      <c r="V285" s="17"/>
      <c r="W285" s="17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  <c r="AY285" s="15"/>
      <c r="AZ285" s="15"/>
      <c r="BA285" s="15"/>
      <c r="BB285" s="15"/>
      <c r="BC285" s="15"/>
      <c r="BD285" s="15"/>
      <c r="BE285" s="15"/>
      <c r="BF285" s="15"/>
      <c r="BG285" s="15"/>
      <c r="BH285" s="15"/>
      <c r="BI285" s="15"/>
    </row>
    <row r="286" spans="1:61" ht="15.7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7"/>
      <c r="O286" s="17"/>
      <c r="P286" s="15"/>
      <c r="Q286" s="15"/>
      <c r="R286" s="15"/>
      <c r="S286" s="15"/>
      <c r="T286" s="15"/>
      <c r="U286" s="15"/>
      <c r="V286" s="17"/>
      <c r="W286" s="17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  <c r="AV286" s="15"/>
      <c r="AW286" s="15"/>
      <c r="AX286" s="15"/>
      <c r="AY286" s="15"/>
      <c r="AZ286" s="15"/>
      <c r="BA286" s="15"/>
      <c r="BB286" s="15"/>
      <c r="BC286" s="15"/>
      <c r="BD286" s="15"/>
      <c r="BE286" s="15"/>
      <c r="BF286" s="15"/>
      <c r="BG286" s="15"/>
      <c r="BH286" s="15"/>
      <c r="BI286" s="15"/>
    </row>
    <row r="287" spans="1:61" ht="15.7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7"/>
      <c r="O287" s="17"/>
      <c r="P287" s="15"/>
      <c r="Q287" s="15"/>
      <c r="R287" s="15"/>
      <c r="S287" s="15"/>
      <c r="T287" s="15"/>
      <c r="U287" s="15"/>
      <c r="V287" s="17"/>
      <c r="W287" s="17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  <c r="AY287" s="15"/>
      <c r="AZ287" s="15"/>
      <c r="BA287" s="15"/>
      <c r="BB287" s="15"/>
      <c r="BC287" s="15"/>
      <c r="BD287" s="15"/>
      <c r="BE287" s="15"/>
      <c r="BF287" s="15"/>
      <c r="BG287" s="15"/>
      <c r="BH287" s="15"/>
      <c r="BI287" s="15"/>
    </row>
    <row r="288" spans="1:61" ht="15.7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7"/>
      <c r="O288" s="17"/>
      <c r="P288" s="15"/>
      <c r="Q288" s="15"/>
      <c r="R288" s="15"/>
      <c r="S288" s="15"/>
      <c r="T288" s="15"/>
      <c r="U288" s="15"/>
      <c r="V288" s="17"/>
      <c r="W288" s="17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  <c r="AV288" s="15"/>
      <c r="AW288" s="15"/>
      <c r="AX288" s="15"/>
      <c r="AY288" s="15"/>
      <c r="AZ288" s="15"/>
      <c r="BA288" s="15"/>
      <c r="BB288" s="15"/>
      <c r="BC288" s="15"/>
      <c r="BD288" s="15"/>
      <c r="BE288" s="15"/>
      <c r="BF288" s="15"/>
      <c r="BG288" s="15"/>
      <c r="BH288" s="15"/>
      <c r="BI288" s="15"/>
    </row>
    <row r="289" spans="1:61" ht="15.7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7"/>
      <c r="O289" s="17"/>
      <c r="P289" s="15"/>
      <c r="Q289" s="15"/>
      <c r="R289" s="15"/>
      <c r="S289" s="15"/>
      <c r="T289" s="15"/>
      <c r="U289" s="15"/>
      <c r="V289" s="17"/>
      <c r="W289" s="17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  <c r="AZ289" s="15"/>
      <c r="BA289" s="15"/>
      <c r="BB289" s="15"/>
      <c r="BC289" s="15"/>
      <c r="BD289" s="15"/>
      <c r="BE289" s="15"/>
      <c r="BF289" s="15"/>
      <c r="BG289" s="15"/>
      <c r="BH289" s="15"/>
      <c r="BI289" s="15"/>
    </row>
    <row r="290" spans="1:61" ht="15.7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7"/>
      <c r="O290" s="17"/>
      <c r="P290" s="15"/>
      <c r="Q290" s="15"/>
      <c r="R290" s="15"/>
      <c r="S290" s="15"/>
      <c r="T290" s="15"/>
      <c r="U290" s="15"/>
      <c r="V290" s="17"/>
      <c r="W290" s="17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  <c r="AV290" s="15"/>
      <c r="AW290" s="15"/>
      <c r="AX290" s="15"/>
      <c r="AY290" s="15"/>
      <c r="AZ290" s="15"/>
      <c r="BA290" s="15"/>
      <c r="BB290" s="15"/>
      <c r="BC290" s="15"/>
      <c r="BD290" s="15"/>
      <c r="BE290" s="15"/>
      <c r="BF290" s="15"/>
      <c r="BG290" s="15"/>
      <c r="BH290" s="15"/>
      <c r="BI290" s="15"/>
    </row>
    <row r="291" spans="1:61" ht="15.7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7"/>
      <c r="O291" s="17"/>
      <c r="P291" s="15"/>
      <c r="Q291" s="15"/>
      <c r="R291" s="15"/>
      <c r="S291" s="15"/>
      <c r="T291" s="15"/>
      <c r="U291" s="15"/>
      <c r="V291" s="17"/>
      <c r="W291" s="17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  <c r="AZ291" s="15"/>
      <c r="BA291" s="15"/>
      <c r="BB291" s="15"/>
      <c r="BC291" s="15"/>
      <c r="BD291" s="15"/>
      <c r="BE291" s="15"/>
      <c r="BF291" s="15"/>
      <c r="BG291" s="15"/>
      <c r="BH291" s="15"/>
      <c r="BI291" s="15"/>
    </row>
    <row r="292" spans="1:61" ht="15.7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7"/>
      <c r="O292" s="17"/>
      <c r="P292" s="15"/>
      <c r="Q292" s="15"/>
      <c r="R292" s="15"/>
      <c r="S292" s="15"/>
      <c r="T292" s="15"/>
      <c r="U292" s="15"/>
      <c r="V292" s="17"/>
      <c r="W292" s="17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  <c r="AV292" s="15"/>
      <c r="AW292" s="15"/>
      <c r="AX292" s="15"/>
      <c r="AY292" s="15"/>
      <c r="AZ292" s="15"/>
      <c r="BA292" s="15"/>
      <c r="BB292" s="15"/>
      <c r="BC292" s="15"/>
      <c r="BD292" s="15"/>
      <c r="BE292" s="15"/>
      <c r="BF292" s="15"/>
      <c r="BG292" s="15"/>
      <c r="BH292" s="15"/>
      <c r="BI292" s="15"/>
    </row>
    <row r="293" spans="1:61" ht="15.7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7"/>
      <c r="O293" s="17"/>
      <c r="P293" s="15"/>
      <c r="Q293" s="15"/>
      <c r="R293" s="15"/>
      <c r="S293" s="15"/>
      <c r="T293" s="15"/>
      <c r="U293" s="15"/>
      <c r="V293" s="17"/>
      <c r="W293" s="17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  <c r="AY293" s="15"/>
      <c r="AZ293" s="15"/>
      <c r="BA293" s="15"/>
      <c r="BB293" s="15"/>
      <c r="BC293" s="15"/>
      <c r="BD293" s="15"/>
      <c r="BE293" s="15"/>
      <c r="BF293" s="15"/>
      <c r="BG293" s="15"/>
      <c r="BH293" s="15"/>
      <c r="BI293" s="15"/>
    </row>
    <row r="294" spans="1:61" ht="15.7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7"/>
      <c r="O294" s="17"/>
      <c r="P294" s="15"/>
      <c r="Q294" s="15"/>
      <c r="R294" s="15"/>
      <c r="S294" s="15"/>
      <c r="T294" s="15"/>
      <c r="U294" s="15"/>
      <c r="V294" s="17"/>
      <c r="W294" s="17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5"/>
      <c r="BB294" s="15"/>
      <c r="BC294" s="15"/>
      <c r="BD294" s="15"/>
      <c r="BE294" s="15"/>
      <c r="BF294" s="15"/>
      <c r="BG294" s="15"/>
      <c r="BH294" s="15"/>
      <c r="BI294" s="15"/>
    </row>
    <row r="295" spans="1:61" ht="15.7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7"/>
      <c r="O295" s="17"/>
      <c r="P295" s="15"/>
      <c r="Q295" s="15"/>
      <c r="R295" s="15"/>
      <c r="S295" s="15"/>
      <c r="T295" s="15"/>
      <c r="U295" s="15"/>
      <c r="V295" s="17"/>
      <c r="W295" s="17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  <c r="AY295" s="15"/>
      <c r="AZ295" s="15"/>
      <c r="BA295" s="15"/>
      <c r="BB295" s="15"/>
      <c r="BC295" s="15"/>
      <c r="BD295" s="15"/>
      <c r="BE295" s="15"/>
      <c r="BF295" s="15"/>
      <c r="BG295" s="15"/>
      <c r="BH295" s="15"/>
      <c r="BI295" s="15"/>
    </row>
    <row r="296" spans="1:61" ht="15.7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7"/>
      <c r="O296" s="17"/>
      <c r="P296" s="15"/>
      <c r="Q296" s="15"/>
      <c r="R296" s="15"/>
      <c r="S296" s="15"/>
      <c r="T296" s="15"/>
      <c r="U296" s="15"/>
      <c r="V296" s="17"/>
      <c r="W296" s="17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  <c r="AX296" s="15"/>
      <c r="AY296" s="15"/>
      <c r="AZ296" s="15"/>
      <c r="BA296" s="15"/>
      <c r="BB296" s="15"/>
      <c r="BC296" s="15"/>
      <c r="BD296" s="15"/>
      <c r="BE296" s="15"/>
      <c r="BF296" s="15"/>
      <c r="BG296" s="15"/>
      <c r="BH296" s="15"/>
      <c r="BI296" s="15"/>
    </row>
    <row r="297" spans="1:61" ht="15.7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7"/>
      <c r="O297" s="17"/>
      <c r="P297" s="15"/>
      <c r="Q297" s="15"/>
      <c r="R297" s="15"/>
      <c r="S297" s="15"/>
      <c r="T297" s="15"/>
      <c r="U297" s="15"/>
      <c r="V297" s="17"/>
      <c r="W297" s="17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  <c r="AZ297" s="15"/>
      <c r="BA297" s="15"/>
      <c r="BB297" s="15"/>
      <c r="BC297" s="15"/>
      <c r="BD297" s="15"/>
      <c r="BE297" s="15"/>
      <c r="BF297" s="15"/>
      <c r="BG297" s="15"/>
      <c r="BH297" s="15"/>
      <c r="BI297" s="15"/>
    </row>
    <row r="298" spans="1:61" ht="15.7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7"/>
      <c r="O298" s="17"/>
      <c r="P298" s="15"/>
      <c r="Q298" s="15"/>
      <c r="R298" s="15"/>
      <c r="S298" s="15"/>
      <c r="T298" s="15"/>
      <c r="U298" s="15"/>
      <c r="V298" s="17"/>
      <c r="W298" s="17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  <c r="AV298" s="15"/>
      <c r="AW298" s="15"/>
      <c r="AX298" s="15"/>
      <c r="AY298" s="15"/>
      <c r="AZ298" s="15"/>
      <c r="BA298" s="15"/>
      <c r="BB298" s="15"/>
      <c r="BC298" s="15"/>
      <c r="BD298" s="15"/>
      <c r="BE298" s="15"/>
      <c r="BF298" s="15"/>
      <c r="BG298" s="15"/>
      <c r="BH298" s="15"/>
      <c r="BI298" s="15"/>
    </row>
    <row r="299" spans="1:61" ht="15.7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7"/>
      <c r="O299" s="17"/>
      <c r="P299" s="15"/>
      <c r="Q299" s="15"/>
      <c r="R299" s="15"/>
      <c r="S299" s="15"/>
      <c r="T299" s="15"/>
      <c r="U299" s="15"/>
      <c r="V299" s="17"/>
      <c r="W299" s="17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  <c r="AY299" s="15"/>
      <c r="AZ299" s="15"/>
      <c r="BA299" s="15"/>
      <c r="BB299" s="15"/>
      <c r="BC299" s="15"/>
      <c r="BD299" s="15"/>
      <c r="BE299" s="15"/>
      <c r="BF299" s="15"/>
      <c r="BG299" s="15"/>
      <c r="BH299" s="15"/>
      <c r="BI299" s="15"/>
    </row>
    <row r="300" spans="1:61" ht="15.7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7"/>
      <c r="O300" s="17"/>
      <c r="P300" s="15"/>
      <c r="Q300" s="15"/>
      <c r="R300" s="15"/>
      <c r="S300" s="15"/>
      <c r="T300" s="15"/>
      <c r="U300" s="15"/>
      <c r="V300" s="17"/>
      <c r="W300" s="17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  <c r="AV300" s="15"/>
      <c r="AW300" s="15"/>
      <c r="AX300" s="15"/>
      <c r="AY300" s="15"/>
      <c r="AZ300" s="15"/>
      <c r="BA300" s="15"/>
      <c r="BB300" s="15"/>
      <c r="BC300" s="15"/>
      <c r="BD300" s="15"/>
      <c r="BE300" s="15"/>
      <c r="BF300" s="15"/>
      <c r="BG300" s="15"/>
      <c r="BH300" s="15"/>
      <c r="BI300" s="15"/>
    </row>
    <row r="301" spans="1:61" ht="15.7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7"/>
      <c r="O301" s="17"/>
      <c r="P301" s="15"/>
      <c r="Q301" s="15"/>
      <c r="R301" s="15"/>
      <c r="S301" s="15"/>
      <c r="T301" s="15"/>
      <c r="U301" s="15"/>
      <c r="V301" s="17"/>
      <c r="W301" s="17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  <c r="AY301" s="15"/>
      <c r="AZ301" s="15"/>
      <c r="BA301" s="15"/>
      <c r="BB301" s="15"/>
      <c r="BC301" s="15"/>
      <c r="BD301" s="15"/>
      <c r="BE301" s="15"/>
      <c r="BF301" s="15"/>
      <c r="BG301" s="15"/>
      <c r="BH301" s="15"/>
      <c r="BI301" s="15"/>
    </row>
    <row r="302" spans="1:61" ht="15.7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7"/>
      <c r="O302" s="17"/>
      <c r="P302" s="15"/>
      <c r="Q302" s="15"/>
      <c r="R302" s="15"/>
      <c r="S302" s="15"/>
      <c r="T302" s="15"/>
      <c r="U302" s="15"/>
      <c r="V302" s="17"/>
      <c r="W302" s="17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  <c r="AV302" s="15"/>
      <c r="AW302" s="15"/>
      <c r="AX302" s="15"/>
      <c r="AY302" s="15"/>
      <c r="AZ302" s="15"/>
      <c r="BA302" s="15"/>
      <c r="BB302" s="15"/>
      <c r="BC302" s="15"/>
      <c r="BD302" s="15"/>
      <c r="BE302" s="15"/>
      <c r="BF302" s="15"/>
      <c r="BG302" s="15"/>
      <c r="BH302" s="15"/>
      <c r="BI302" s="15"/>
    </row>
    <row r="303" spans="1:61" ht="15.7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7"/>
      <c r="O303" s="17"/>
      <c r="P303" s="15"/>
      <c r="Q303" s="15"/>
      <c r="R303" s="15"/>
      <c r="S303" s="15"/>
      <c r="T303" s="15"/>
      <c r="U303" s="15"/>
      <c r="V303" s="17"/>
      <c r="W303" s="17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  <c r="AX303" s="15"/>
      <c r="AY303" s="15"/>
      <c r="AZ303" s="15"/>
      <c r="BA303" s="15"/>
      <c r="BB303" s="15"/>
      <c r="BC303" s="15"/>
      <c r="BD303" s="15"/>
      <c r="BE303" s="15"/>
      <c r="BF303" s="15"/>
      <c r="BG303" s="15"/>
      <c r="BH303" s="15"/>
      <c r="BI303" s="15"/>
    </row>
    <row r="304" spans="1:61" ht="15.7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7"/>
      <c r="O304" s="17"/>
      <c r="P304" s="15"/>
      <c r="Q304" s="15"/>
      <c r="R304" s="15"/>
      <c r="S304" s="15"/>
      <c r="T304" s="15"/>
      <c r="U304" s="15"/>
      <c r="V304" s="17"/>
      <c r="W304" s="17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  <c r="AW304" s="15"/>
      <c r="AX304" s="15"/>
      <c r="AY304" s="15"/>
      <c r="AZ304" s="15"/>
      <c r="BA304" s="15"/>
      <c r="BB304" s="15"/>
      <c r="BC304" s="15"/>
      <c r="BD304" s="15"/>
      <c r="BE304" s="15"/>
      <c r="BF304" s="15"/>
      <c r="BG304" s="15"/>
      <c r="BH304" s="15"/>
      <c r="BI304" s="15"/>
    </row>
    <row r="305" spans="1:61" ht="15.7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7"/>
      <c r="O305" s="17"/>
      <c r="P305" s="15"/>
      <c r="Q305" s="15"/>
      <c r="R305" s="15"/>
      <c r="S305" s="15"/>
      <c r="T305" s="15"/>
      <c r="U305" s="15"/>
      <c r="V305" s="17"/>
      <c r="W305" s="17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  <c r="AY305" s="15"/>
      <c r="AZ305" s="15"/>
      <c r="BA305" s="15"/>
      <c r="BB305" s="15"/>
      <c r="BC305" s="15"/>
      <c r="BD305" s="15"/>
      <c r="BE305" s="15"/>
      <c r="BF305" s="15"/>
      <c r="BG305" s="15"/>
      <c r="BH305" s="15"/>
      <c r="BI305" s="15"/>
    </row>
    <row r="306" spans="1:61" ht="15.7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7"/>
      <c r="O306" s="17"/>
      <c r="P306" s="15"/>
      <c r="Q306" s="15"/>
      <c r="R306" s="15"/>
      <c r="S306" s="15"/>
      <c r="T306" s="15"/>
      <c r="U306" s="15"/>
      <c r="V306" s="17"/>
      <c r="W306" s="17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  <c r="AV306" s="15"/>
      <c r="AW306" s="15"/>
      <c r="AX306" s="15"/>
      <c r="AY306" s="15"/>
      <c r="AZ306" s="15"/>
      <c r="BA306" s="15"/>
      <c r="BB306" s="15"/>
      <c r="BC306" s="15"/>
      <c r="BD306" s="15"/>
      <c r="BE306" s="15"/>
      <c r="BF306" s="15"/>
      <c r="BG306" s="15"/>
      <c r="BH306" s="15"/>
      <c r="BI306" s="15"/>
    </row>
    <row r="307" spans="1:61" ht="15.7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7"/>
      <c r="O307" s="17"/>
      <c r="P307" s="15"/>
      <c r="Q307" s="15"/>
      <c r="R307" s="15"/>
      <c r="S307" s="15"/>
      <c r="T307" s="15"/>
      <c r="U307" s="15"/>
      <c r="V307" s="17"/>
      <c r="W307" s="17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  <c r="AX307" s="15"/>
      <c r="AY307" s="15"/>
      <c r="AZ307" s="15"/>
      <c r="BA307" s="15"/>
      <c r="BB307" s="15"/>
      <c r="BC307" s="15"/>
      <c r="BD307" s="15"/>
      <c r="BE307" s="15"/>
      <c r="BF307" s="15"/>
      <c r="BG307" s="15"/>
      <c r="BH307" s="15"/>
      <c r="BI307" s="15"/>
    </row>
    <row r="308" spans="1:61" ht="15.7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7"/>
      <c r="O308" s="17"/>
      <c r="P308" s="15"/>
      <c r="Q308" s="15"/>
      <c r="R308" s="15"/>
      <c r="S308" s="15"/>
      <c r="T308" s="15"/>
      <c r="U308" s="15"/>
      <c r="V308" s="17"/>
      <c r="W308" s="17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  <c r="AX308" s="15"/>
      <c r="AY308" s="15"/>
      <c r="AZ308" s="15"/>
      <c r="BA308" s="15"/>
      <c r="BB308" s="15"/>
      <c r="BC308" s="15"/>
      <c r="BD308" s="15"/>
      <c r="BE308" s="15"/>
      <c r="BF308" s="15"/>
      <c r="BG308" s="15"/>
      <c r="BH308" s="15"/>
      <c r="BI308" s="15"/>
    </row>
    <row r="309" spans="1:61" ht="15.7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7"/>
      <c r="O309" s="17"/>
      <c r="P309" s="15"/>
      <c r="Q309" s="15"/>
      <c r="R309" s="15"/>
      <c r="S309" s="15"/>
      <c r="T309" s="15"/>
      <c r="U309" s="15"/>
      <c r="V309" s="17"/>
      <c r="W309" s="17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  <c r="BH309" s="15"/>
      <c r="BI309" s="15"/>
    </row>
    <row r="310" spans="1:61" ht="15.7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7"/>
      <c r="O310" s="17"/>
      <c r="P310" s="15"/>
      <c r="Q310" s="15"/>
      <c r="R310" s="15"/>
      <c r="S310" s="15"/>
      <c r="T310" s="15"/>
      <c r="U310" s="15"/>
      <c r="V310" s="17"/>
      <c r="W310" s="17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  <c r="AV310" s="15"/>
      <c r="AW310" s="15"/>
      <c r="AX310" s="15"/>
      <c r="AY310" s="15"/>
      <c r="AZ310" s="15"/>
      <c r="BA310" s="15"/>
      <c r="BB310" s="15"/>
      <c r="BC310" s="15"/>
      <c r="BD310" s="15"/>
      <c r="BE310" s="15"/>
      <c r="BF310" s="15"/>
      <c r="BG310" s="15"/>
      <c r="BH310" s="15"/>
      <c r="BI310" s="15"/>
    </row>
    <row r="311" spans="1:61" ht="15.7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7"/>
      <c r="O311" s="17"/>
      <c r="P311" s="15"/>
      <c r="Q311" s="15"/>
      <c r="R311" s="15"/>
      <c r="S311" s="15"/>
      <c r="T311" s="15"/>
      <c r="U311" s="15"/>
      <c r="V311" s="17"/>
      <c r="W311" s="17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  <c r="AX311" s="15"/>
      <c r="AY311" s="15"/>
      <c r="AZ311" s="15"/>
      <c r="BA311" s="15"/>
      <c r="BB311" s="15"/>
      <c r="BC311" s="15"/>
      <c r="BD311" s="15"/>
      <c r="BE311" s="15"/>
      <c r="BF311" s="15"/>
      <c r="BG311" s="15"/>
      <c r="BH311" s="15"/>
      <c r="BI311" s="15"/>
    </row>
    <row r="312" spans="1:61" ht="15.7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7"/>
      <c r="O312" s="17"/>
      <c r="P312" s="15"/>
      <c r="Q312" s="15"/>
      <c r="R312" s="15"/>
      <c r="S312" s="15"/>
      <c r="T312" s="15"/>
      <c r="U312" s="15"/>
      <c r="V312" s="17"/>
      <c r="W312" s="17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15"/>
      <c r="AT312" s="15"/>
      <c r="AU312" s="15"/>
      <c r="AV312" s="15"/>
      <c r="AW312" s="15"/>
      <c r="AX312" s="15"/>
      <c r="AY312" s="15"/>
      <c r="AZ312" s="15"/>
      <c r="BA312" s="15"/>
      <c r="BB312" s="15"/>
      <c r="BC312" s="15"/>
      <c r="BD312" s="15"/>
      <c r="BE312" s="15"/>
      <c r="BF312" s="15"/>
      <c r="BG312" s="15"/>
      <c r="BH312" s="15"/>
      <c r="BI312" s="15"/>
    </row>
    <row r="313" spans="1:61" ht="15.7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7"/>
      <c r="O313" s="17"/>
      <c r="P313" s="15"/>
      <c r="Q313" s="15"/>
      <c r="R313" s="15"/>
      <c r="S313" s="15"/>
      <c r="T313" s="15"/>
      <c r="U313" s="15"/>
      <c r="V313" s="17"/>
      <c r="W313" s="17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  <c r="AW313" s="15"/>
      <c r="AX313" s="15"/>
      <c r="AY313" s="15"/>
      <c r="AZ313" s="15"/>
      <c r="BA313" s="15"/>
      <c r="BB313" s="15"/>
      <c r="BC313" s="15"/>
      <c r="BD313" s="15"/>
      <c r="BE313" s="15"/>
      <c r="BF313" s="15"/>
      <c r="BG313" s="15"/>
      <c r="BH313" s="15"/>
      <c r="BI313" s="15"/>
    </row>
    <row r="314" spans="1:61" ht="15.7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7"/>
      <c r="O314" s="17"/>
      <c r="P314" s="15"/>
      <c r="Q314" s="15"/>
      <c r="R314" s="15"/>
      <c r="S314" s="15"/>
      <c r="T314" s="15"/>
      <c r="U314" s="15"/>
      <c r="V314" s="17"/>
      <c r="W314" s="17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  <c r="AU314" s="15"/>
      <c r="AV314" s="15"/>
      <c r="AW314" s="15"/>
      <c r="AX314" s="15"/>
      <c r="AY314" s="15"/>
      <c r="AZ314" s="15"/>
      <c r="BA314" s="15"/>
      <c r="BB314" s="15"/>
      <c r="BC314" s="15"/>
      <c r="BD314" s="15"/>
      <c r="BE314" s="15"/>
      <c r="BF314" s="15"/>
      <c r="BG314" s="15"/>
      <c r="BH314" s="15"/>
      <c r="BI314" s="15"/>
    </row>
    <row r="315" spans="1:61" ht="15.7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7"/>
      <c r="O315" s="17"/>
      <c r="P315" s="15"/>
      <c r="Q315" s="15"/>
      <c r="R315" s="15"/>
      <c r="S315" s="15"/>
      <c r="T315" s="15"/>
      <c r="U315" s="15"/>
      <c r="V315" s="17"/>
      <c r="W315" s="17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  <c r="AW315" s="15"/>
      <c r="AX315" s="15"/>
      <c r="AY315" s="15"/>
      <c r="AZ315" s="15"/>
      <c r="BA315" s="15"/>
      <c r="BB315" s="15"/>
      <c r="BC315" s="15"/>
      <c r="BD315" s="15"/>
      <c r="BE315" s="15"/>
      <c r="BF315" s="15"/>
      <c r="BG315" s="15"/>
      <c r="BH315" s="15"/>
      <c r="BI315" s="15"/>
    </row>
    <row r="316" spans="1:61" ht="15.7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7"/>
      <c r="O316" s="17"/>
      <c r="P316" s="15"/>
      <c r="Q316" s="15"/>
      <c r="R316" s="15"/>
      <c r="S316" s="15"/>
      <c r="T316" s="15"/>
      <c r="U316" s="15"/>
      <c r="V316" s="17"/>
      <c r="W316" s="17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  <c r="AV316" s="15"/>
      <c r="AW316" s="15"/>
      <c r="AX316" s="15"/>
      <c r="AY316" s="15"/>
      <c r="AZ316" s="15"/>
      <c r="BA316" s="15"/>
      <c r="BB316" s="15"/>
      <c r="BC316" s="15"/>
      <c r="BD316" s="15"/>
      <c r="BE316" s="15"/>
      <c r="BF316" s="15"/>
      <c r="BG316" s="15"/>
      <c r="BH316" s="15"/>
      <c r="BI316" s="15"/>
    </row>
    <row r="317" spans="1:61" ht="15.7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7"/>
      <c r="O317" s="17"/>
      <c r="P317" s="15"/>
      <c r="Q317" s="15"/>
      <c r="R317" s="15"/>
      <c r="S317" s="15"/>
      <c r="T317" s="15"/>
      <c r="U317" s="15"/>
      <c r="V317" s="17"/>
      <c r="W317" s="17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  <c r="AW317" s="15"/>
      <c r="AX317" s="15"/>
      <c r="AY317" s="15"/>
      <c r="AZ317" s="15"/>
      <c r="BA317" s="15"/>
      <c r="BB317" s="15"/>
      <c r="BC317" s="15"/>
      <c r="BD317" s="15"/>
      <c r="BE317" s="15"/>
      <c r="BF317" s="15"/>
      <c r="BG317" s="15"/>
      <c r="BH317" s="15"/>
      <c r="BI317" s="15"/>
    </row>
    <row r="318" spans="1:61" ht="15.7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7"/>
      <c r="O318" s="17"/>
      <c r="P318" s="15"/>
      <c r="Q318" s="15"/>
      <c r="R318" s="15"/>
      <c r="S318" s="15"/>
      <c r="T318" s="15"/>
      <c r="U318" s="15"/>
      <c r="V318" s="17"/>
      <c r="W318" s="17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  <c r="AV318" s="15"/>
      <c r="AW318" s="15"/>
      <c r="AX318" s="15"/>
      <c r="AY318" s="15"/>
      <c r="AZ318" s="15"/>
      <c r="BA318" s="15"/>
      <c r="BB318" s="15"/>
      <c r="BC318" s="15"/>
      <c r="BD318" s="15"/>
      <c r="BE318" s="15"/>
      <c r="BF318" s="15"/>
      <c r="BG318" s="15"/>
      <c r="BH318" s="15"/>
      <c r="BI318" s="15"/>
    </row>
    <row r="319" spans="1:61" ht="15.7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7"/>
      <c r="O319" s="17"/>
      <c r="P319" s="15"/>
      <c r="Q319" s="15"/>
      <c r="R319" s="15"/>
      <c r="S319" s="15"/>
      <c r="T319" s="15"/>
      <c r="U319" s="15"/>
      <c r="V319" s="17"/>
      <c r="W319" s="17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  <c r="AW319" s="15"/>
      <c r="AX319" s="15"/>
      <c r="AY319" s="15"/>
      <c r="AZ319" s="15"/>
      <c r="BA319" s="15"/>
      <c r="BB319" s="15"/>
      <c r="BC319" s="15"/>
      <c r="BD319" s="15"/>
      <c r="BE319" s="15"/>
      <c r="BF319" s="15"/>
      <c r="BG319" s="15"/>
      <c r="BH319" s="15"/>
      <c r="BI319" s="15"/>
    </row>
    <row r="320" spans="1:61" ht="15.7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7"/>
      <c r="O320" s="17"/>
      <c r="P320" s="15"/>
      <c r="Q320" s="15"/>
      <c r="R320" s="15"/>
      <c r="S320" s="15"/>
      <c r="T320" s="15"/>
      <c r="U320" s="15"/>
      <c r="V320" s="17"/>
      <c r="W320" s="17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  <c r="AV320" s="15"/>
      <c r="AW320" s="15"/>
      <c r="AX320" s="15"/>
      <c r="AY320" s="15"/>
      <c r="AZ320" s="15"/>
      <c r="BA320" s="15"/>
      <c r="BB320" s="15"/>
      <c r="BC320" s="15"/>
      <c r="BD320" s="15"/>
      <c r="BE320" s="15"/>
      <c r="BF320" s="15"/>
      <c r="BG320" s="15"/>
      <c r="BH320" s="15"/>
      <c r="BI320" s="15"/>
    </row>
    <row r="321" spans="1:61" ht="15.7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7"/>
      <c r="O321" s="17"/>
      <c r="P321" s="15"/>
      <c r="Q321" s="15"/>
      <c r="R321" s="15"/>
      <c r="S321" s="15"/>
      <c r="T321" s="15"/>
      <c r="U321" s="15"/>
      <c r="V321" s="17"/>
      <c r="W321" s="17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  <c r="AV321" s="15"/>
      <c r="AW321" s="15"/>
      <c r="AX321" s="15"/>
      <c r="AY321" s="15"/>
      <c r="AZ321" s="15"/>
      <c r="BA321" s="15"/>
      <c r="BB321" s="15"/>
      <c r="BC321" s="15"/>
      <c r="BD321" s="15"/>
      <c r="BE321" s="15"/>
      <c r="BF321" s="15"/>
      <c r="BG321" s="15"/>
      <c r="BH321" s="15"/>
      <c r="BI321" s="15"/>
    </row>
    <row r="322" spans="1:61" ht="15.7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7"/>
      <c r="O322" s="17"/>
      <c r="P322" s="15"/>
      <c r="Q322" s="15"/>
      <c r="R322" s="15"/>
      <c r="S322" s="15"/>
      <c r="T322" s="15"/>
      <c r="U322" s="15"/>
      <c r="V322" s="17"/>
      <c r="W322" s="17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  <c r="AS322" s="15"/>
      <c r="AT322" s="15"/>
      <c r="AU322" s="15"/>
      <c r="AV322" s="15"/>
      <c r="AW322" s="15"/>
      <c r="AX322" s="15"/>
      <c r="AY322" s="15"/>
      <c r="AZ322" s="15"/>
      <c r="BA322" s="15"/>
      <c r="BB322" s="15"/>
      <c r="BC322" s="15"/>
      <c r="BD322" s="15"/>
      <c r="BE322" s="15"/>
      <c r="BF322" s="15"/>
      <c r="BG322" s="15"/>
      <c r="BH322" s="15"/>
      <c r="BI322" s="15"/>
    </row>
    <row r="323" spans="1:61" ht="15.7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7"/>
      <c r="O323" s="17"/>
      <c r="P323" s="15"/>
      <c r="Q323" s="15"/>
      <c r="R323" s="15"/>
      <c r="S323" s="15"/>
      <c r="T323" s="15"/>
      <c r="U323" s="15"/>
      <c r="V323" s="17"/>
      <c r="W323" s="17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  <c r="AV323" s="15"/>
      <c r="AW323" s="15"/>
      <c r="AX323" s="15"/>
      <c r="AY323" s="15"/>
      <c r="AZ323" s="15"/>
      <c r="BA323" s="15"/>
      <c r="BB323" s="15"/>
      <c r="BC323" s="15"/>
      <c r="BD323" s="15"/>
      <c r="BE323" s="15"/>
      <c r="BF323" s="15"/>
      <c r="BG323" s="15"/>
      <c r="BH323" s="15"/>
      <c r="BI323" s="15"/>
    </row>
    <row r="324" spans="1:61" ht="15.7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7"/>
      <c r="O324" s="17"/>
      <c r="P324" s="15"/>
      <c r="Q324" s="15"/>
      <c r="R324" s="15"/>
      <c r="S324" s="15"/>
      <c r="T324" s="15"/>
      <c r="U324" s="15"/>
      <c r="V324" s="17"/>
      <c r="W324" s="17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  <c r="AU324" s="15"/>
      <c r="AV324" s="15"/>
      <c r="AW324" s="15"/>
      <c r="AX324" s="15"/>
      <c r="AY324" s="15"/>
      <c r="AZ324" s="15"/>
      <c r="BA324" s="15"/>
      <c r="BB324" s="15"/>
      <c r="BC324" s="15"/>
      <c r="BD324" s="15"/>
      <c r="BE324" s="15"/>
      <c r="BF324" s="15"/>
      <c r="BG324" s="15"/>
      <c r="BH324" s="15"/>
      <c r="BI324" s="15"/>
    </row>
    <row r="325" spans="1:61" ht="15.7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7"/>
      <c r="O325" s="17"/>
      <c r="P325" s="15"/>
      <c r="Q325" s="15"/>
      <c r="R325" s="15"/>
      <c r="S325" s="15"/>
      <c r="T325" s="15"/>
      <c r="U325" s="15"/>
      <c r="V325" s="17"/>
      <c r="W325" s="17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  <c r="AX325" s="15"/>
      <c r="AY325" s="15"/>
      <c r="AZ325" s="15"/>
      <c r="BA325" s="15"/>
      <c r="BB325" s="15"/>
      <c r="BC325" s="15"/>
      <c r="BD325" s="15"/>
      <c r="BE325" s="15"/>
      <c r="BF325" s="15"/>
      <c r="BG325" s="15"/>
      <c r="BH325" s="15"/>
      <c r="BI325" s="15"/>
    </row>
    <row r="326" spans="1:61" ht="15.7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7"/>
      <c r="O326" s="17"/>
      <c r="P326" s="15"/>
      <c r="Q326" s="15"/>
      <c r="R326" s="15"/>
      <c r="S326" s="15"/>
      <c r="T326" s="15"/>
      <c r="U326" s="15"/>
      <c r="V326" s="17"/>
      <c r="W326" s="17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  <c r="AT326" s="15"/>
      <c r="AU326" s="15"/>
      <c r="AV326" s="15"/>
      <c r="AW326" s="15"/>
      <c r="AX326" s="15"/>
      <c r="AY326" s="15"/>
      <c r="AZ326" s="15"/>
      <c r="BA326" s="15"/>
      <c r="BB326" s="15"/>
      <c r="BC326" s="15"/>
      <c r="BD326" s="15"/>
      <c r="BE326" s="15"/>
      <c r="BF326" s="15"/>
      <c r="BG326" s="15"/>
      <c r="BH326" s="15"/>
      <c r="BI326" s="15"/>
    </row>
    <row r="327" spans="1:61" ht="15.7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7"/>
      <c r="O327" s="17"/>
      <c r="P327" s="15"/>
      <c r="Q327" s="15"/>
      <c r="R327" s="15"/>
      <c r="S327" s="15"/>
      <c r="T327" s="15"/>
      <c r="U327" s="15"/>
      <c r="V327" s="17"/>
      <c r="W327" s="17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  <c r="AW327" s="15"/>
      <c r="AX327" s="15"/>
      <c r="AY327" s="15"/>
      <c r="AZ327" s="15"/>
      <c r="BA327" s="15"/>
      <c r="BB327" s="15"/>
      <c r="BC327" s="15"/>
      <c r="BD327" s="15"/>
      <c r="BE327" s="15"/>
      <c r="BF327" s="15"/>
      <c r="BG327" s="15"/>
      <c r="BH327" s="15"/>
      <c r="BI327" s="15"/>
    </row>
    <row r="328" spans="1:61" ht="15.7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7"/>
      <c r="O328" s="17"/>
      <c r="P328" s="15"/>
      <c r="Q328" s="15"/>
      <c r="R328" s="15"/>
      <c r="S328" s="15"/>
      <c r="T328" s="15"/>
      <c r="U328" s="15"/>
      <c r="V328" s="17"/>
      <c r="W328" s="17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15"/>
      <c r="AT328" s="15"/>
      <c r="AU328" s="15"/>
      <c r="AV328" s="15"/>
      <c r="AW328" s="15"/>
      <c r="AX328" s="15"/>
      <c r="AY328" s="15"/>
      <c r="AZ328" s="15"/>
      <c r="BA328" s="15"/>
      <c r="BB328" s="15"/>
      <c r="BC328" s="15"/>
      <c r="BD328" s="15"/>
      <c r="BE328" s="15"/>
      <c r="BF328" s="15"/>
      <c r="BG328" s="15"/>
      <c r="BH328" s="15"/>
      <c r="BI328" s="15"/>
    </row>
    <row r="329" spans="1:61" ht="15.7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7"/>
      <c r="O329" s="17"/>
      <c r="P329" s="15"/>
      <c r="Q329" s="15"/>
      <c r="R329" s="15"/>
      <c r="S329" s="15"/>
      <c r="T329" s="15"/>
      <c r="U329" s="15"/>
      <c r="V329" s="17"/>
      <c r="W329" s="17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  <c r="AX329" s="15"/>
      <c r="AY329" s="15"/>
      <c r="AZ329" s="15"/>
      <c r="BA329" s="15"/>
      <c r="BB329" s="15"/>
      <c r="BC329" s="15"/>
      <c r="BD329" s="15"/>
      <c r="BE329" s="15"/>
      <c r="BF329" s="15"/>
      <c r="BG329" s="15"/>
      <c r="BH329" s="15"/>
      <c r="BI329" s="15"/>
    </row>
    <row r="330" spans="1:61" ht="15.7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7"/>
      <c r="O330" s="17"/>
      <c r="P330" s="15"/>
      <c r="Q330" s="15"/>
      <c r="R330" s="15"/>
      <c r="S330" s="15"/>
      <c r="T330" s="15"/>
      <c r="U330" s="15"/>
      <c r="V330" s="17"/>
      <c r="W330" s="17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  <c r="AS330" s="15"/>
      <c r="AT330" s="15"/>
      <c r="AU330" s="15"/>
      <c r="AV330" s="15"/>
      <c r="AW330" s="15"/>
      <c r="AX330" s="15"/>
      <c r="AY330" s="15"/>
      <c r="AZ330" s="15"/>
      <c r="BA330" s="15"/>
      <c r="BB330" s="15"/>
      <c r="BC330" s="15"/>
      <c r="BD330" s="15"/>
      <c r="BE330" s="15"/>
      <c r="BF330" s="15"/>
      <c r="BG330" s="15"/>
      <c r="BH330" s="15"/>
      <c r="BI330" s="15"/>
    </row>
    <row r="331" spans="1:61" ht="15.7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7"/>
      <c r="O331" s="17"/>
      <c r="P331" s="15"/>
      <c r="Q331" s="15"/>
      <c r="R331" s="15"/>
      <c r="S331" s="15"/>
      <c r="T331" s="15"/>
      <c r="U331" s="15"/>
      <c r="V331" s="17"/>
      <c r="W331" s="17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  <c r="AW331" s="15"/>
      <c r="AX331" s="15"/>
      <c r="AY331" s="15"/>
      <c r="AZ331" s="15"/>
      <c r="BA331" s="15"/>
      <c r="BB331" s="15"/>
      <c r="BC331" s="15"/>
      <c r="BD331" s="15"/>
      <c r="BE331" s="15"/>
      <c r="BF331" s="15"/>
      <c r="BG331" s="15"/>
      <c r="BH331" s="15"/>
      <c r="BI331" s="15"/>
    </row>
    <row r="332" spans="1:61" ht="15.7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7"/>
      <c r="O332" s="17"/>
      <c r="P332" s="15"/>
      <c r="Q332" s="15"/>
      <c r="R332" s="15"/>
      <c r="S332" s="15"/>
      <c r="T332" s="15"/>
      <c r="U332" s="15"/>
      <c r="V332" s="17"/>
      <c r="W332" s="17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5"/>
      <c r="AV332" s="15"/>
      <c r="AW332" s="15"/>
      <c r="AX332" s="15"/>
      <c r="AY332" s="15"/>
      <c r="AZ332" s="15"/>
      <c r="BA332" s="15"/>
      <c r="BB332" s="15"/>
      <c r="BC332" s="15"/>
      <c r="BD332" s="15"/>
      <c r="BE332" s="15"/>
      <c r="BF332" s="15"/>
      <c r="BG332" s="15"/>
      <c r="BH332" s="15"/>
      <c r="BI332" s="15"/>
    </row>
    <row r="333" spans="1:61" ht="15.7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7"/>
      <c r="O333" s="17"/>
      <c r="P333" s="15"/>
      <c r="Q333" s="15"/>
      <c r="R333" s="15"/>
      <c r="S333" s="15"/>
      <c r="T333" s="15"/>
      <c r="U333" s="15"/>
      <c r="V333" s="17"/>
      <c r="W333" s="17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  <c r="AW333" s="15"/>
      <c r="AX333" s="15"/>
      <c r="AY333" s="15"/>
      <c r="AZ333" s="15"/>
      <c r="BA333" s="15"/>
      <c r="BB333" s="15"/>
      <c r="BC333" s="15"/>
      <c r="BD333" s="15"/>
      <c r="BE333" s="15"/>
      <c r="BF333" s="15"/>
      <c r="BG333" s="15"/>
      <c r="BH333" s="15"/>
      <c r="BI333" s="15"/>
    </row>
    <row r="334" spans="1:61" ht="15.7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7"/>
      <c r="O334" s="17"/>
      <c r="P334" s="15"/>
      <c r="Q334" s="15"/>
      <c r="R334" s="15"/>
      <c r="S334" s="15"/>
      <c r="T334" s="15"/>
      <c r="U334" s="15"/>
      <c r="V334" s="17"/>
      <c r="W334" s="17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  <c r="AS334" s="15"/>
      <c r="AT334" s="15"/>
      <c r="AU334" s="15"/>
      <c r="AV334" s="15"/>
      <c r="AW334" s="15"/>
      <c r="AX334" s="15"/>
      <c r="AY334" s="15"/>
      <c r="AZ334" s="15"/>
      <c r="BA334" s="15"/>
      <c r="BB334" s="15"/>
      <c r="BC334" s="15"/>
      <c r="BD334" s="15"/>
      <c r="BE334" s="15"/>
      <c r="BF334" s="15"/>
      <c r="BG334" s="15"/>
      <c r="BH334" s="15"/>
      <c r="BI334" s="15"/>
    </row>
    <row r="335" spans="1:61" ht="15.7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7"/>
      <c r="O335" s="17"/>
      <c r="P335" s="15"/>
      <c r="Q335" s="15"/>
      <c r="R335" s="15"/>
      <c r="S335" s="15"/>
      <c r="T335" s="15"/>
      <c r="U335" s="15"/>
      <c r="V335" s="17"/>
      <c r="W335" s="17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  <c r="AX335" s="15"/>
      <c r="AY335" s="15"/>
      <c r="AZ335" s="15"/>
      <c r="BA335" s="15"/>
      <c r="BB335" s="15"/>
      <c r="BC335" s="15"/>
      <c r="BD335" s="15"/>
      <c r="BE335" s="15"/>
      <c r="BF335" s="15"/>
      <c r="BG335" s="15"/>
      <c r="BH335" s="15"/>
      <c r="BI335" s="15"/>
    </row>
    <row r="336" spans="1:61" ht="15.7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7"/>
      <c r="O336" s="17"/>
      <c r="P336" s="15"/>
      <c r="Q336" s="15"/>
      <c r="R336" s="15"/>
      <c r="S336" s="15"/>
      <c r="T336" s="15"/>
      <c r="U336" s="15"/>
      <c r="V336" s="17"/>
      <c r="W336" s="17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  <c r="AT336" s="15"/>
      <c r="AU336" s="15"/>
      <c r="AV336" s="15"/>
      <c r="AW336" s="15"/>
      <c r="AX336" s="15"/>
      <c r="AY336" s="15"/>
      <c r="AZ336" s="15"/>
      <c r="BA336" s="15"/>
      <c r="BB336" s="15"/>
      <c r="BC336" s="15"/>
      <c r="BD336" s="15"/>
      <c r="BE336" s="15"/>
      <c r="BF336" s="15"/>
      <c r="BG336" s="15"/>
      <c r="BH336" s="15"/>
      <c r="BI336" s="15"/>
    </row>
    <row r="337" spans="1:61" ht="15.7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7"/>
      <c r="O337" s="17"/>
      <c r="P337" s="15"/>
      <c r="Q337" s="15"/>
      <c r="R337" s="15"/>
      <c r="S337" s="15"/>
      <c r="T337" s="15"/>
      <c r="U337" s="15"/>
      <c r="V337" s="17"/>
      <c r="W337" s="17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AV337" s="15"/>
      <c r="AW337" s="15"/>
      <c r="AX337" s="15"/>
      <c r="AY337" s="15"/>
      <c r="AZ337" s="15"/>
      <c r="BA337" s="15"/>
      <c r="BB337" s="15"/>
      <c r="BC337" s="15"/>
      <c r="BD337" s="15"/>
      <c r="BE337" s="15"/>
      <c r="BF337" s="15"/>
      <c r="BG337" s="15"/>
      <c r="BH337" s="15"/>
      <c r="BI337" s="15"/>
    </row>
    <row r="338" spans="1:61" ht="15.7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7"/>
      <c r="O338" s="17"/>
      <c r="P338" s="15"/>
      <c r="Q338" s="15"/>
      <c r="R338" s="15"/>
      <c r="S338" s="15"/>
      <c r="T338" s="15"/>
      <c r="U338" s="15"/>
      <c r="V338" s="17"/>
      <c r="W338" s="17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  <c r="AT338" s="15"/>
      <c r="AU338" s="15"/>
      <c r="AV338" s="15"/>
      <c r="AW338" s="15"/>
      <c r="AX338" s="15"/>
      <c r="AY338" s="15"/>
      <c r="AZ338" s="15"/>
      <c r="BA338" s="15"/>
      <c r="BB338" s="15"/>
      <c r="BC338" s="15"/>
      <c r="BD338" s="15"/>
      <c r="BE338" s="15"/>
      <c r="BF338" s="15"/>
      <c r="BG338" s="15"/>
      <c r="BH338" s="15"/>
      <c r="BI338" s="15"/>
    </row>
    <row r="339" spans="1:61" ht="15.7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7"/>
      <c r="O339" s="17"/>
      <c r="P339" s="15"/>
      <c r="Q339" s="15"/>
      <c r="R339" s="15"/>
      <c r="S339" s="15"/>
      <c r="T339" s="15"/>
      <c r="U339" s="15"/>
      <c r="V339" s="17"/>
      <c r="W339" s="17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  <c r="AX339" s="15"/>
      <c r="AY339" s="15"/>
      <c r="AZ339" s="15"/>
      <c r="BA339" s="15"/>
      <c r="BB339" s="15"/>
      <c r="BC339" s="15"/>
      <c r="BD339" s="15"/>
      <c r="BE339" s="15"/>
      <c r="BF339" s="15"/>
      <c r="BG339" s="15"/>
      <c r="BH339" s="15"/>
      <c r="BI339" s="15"/>
    </row>
    <row r="340" spans="1:61" ht="15.7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7"/>
      <c r="O340" s="17"/>
      <c r="P340" s="15"/>
      <c r="Q340" s="15"/>
      <c r="R340" s="15"/>
      <c r="S340" s="15"/>
      <c r="T340" s="15"/>
      <c r="U340" s="15"/>
      <c r="V340" s="17"/>
      <c r="W340" s="17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  <c r="AS340" s="15"/>
      <c r="AT340" s="15"/>
      <c r="AU340" s="15"/>
      <c r="AV340" s="15"/>
      <c r="AW340" s="15"/>
      <c r="AX340" s="15"/>
      <c r="AY340" s="15"/>
      <c r="AZ340" s="15"/>
      <c r="BA340" s="15"/>
      <c r="BB340" s="15"/>
      <c r="BC340" s="15"/>
      <c r="BD340" s="15"/>
      <c r="BE340" s="15"/>
      <c r="BF340" s="15"/>
      <c r="BG340" s="15"/>
      <c r="BH340" s="15"/>
      <c r="BI340" s="15"/>
    </row>
    <row r="341" spans="1:61" ht="15.7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7"/>
      <c r="O341" s="17"/>
      <c r="P341" s="15"/>
      <c r="Q341" s="15"/>
      <c r="R341" s="15"/>
      <c r="S341" s="15"/>
      <c r="T341" s="15"/>
      <c r="U341" s="15"/>
      <c r="V341" s="17"/>
      <c r="W341" s="17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  <c r="AW341" s="15"/>
      <c r="AX341" s="15"/>
      <c r="AY341" s="15"/>
      <c r="AZ341" s="15"/>
      <c r="BA341" s="15"/>
      <c r="BB341" s="15"/>
      <c r="BC341" s="15"/>
      <c r="BD341" s="15"/>
      <c r="BE341" s="15"/>
      <c r="BF341" s="15"/>
      <c r="BG341" s="15"/>
      <c r="BH341" s="15"/>
      <c r="BI341" s="15"/>
    </row>
    <row r="342" spans="1:61" ht="15.7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7"/>
      <c r="O342" s="17"/>
      <c r="P342" s="15"/>
      <c r="Q342" s="15"/>
      <c r="R342" s="15"/>
      <c r="S342" s="15"/>
      <c r="T342" s="15"/>
      <c r="U342" s="15"/>
      <c r="V342" s="17"/>
      <c r="W342" s="17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  <c r="AU342" s="15"/>
      <c r="AV342" s="15"/>
      <c r="AW342" s="15"/>
      <c r="AX342" s="15"/>
      <c r="AY342" s="15"/>
      <c r="AZ342" s="15"/>
      <c r="BA342" s="15"/>
      <c r="BB342" s="15"/>
      <c r="BC342" s="15"/>
      <c r="BD342" s="15"/>
      <c r="BE342" s="15"/>
      <c r="BF342" s="15"/>
      <c r="BG342" s="15"/>
      <c r="BH342" s="15"/>
      <c r="BI342" s="15"/>
    </row>
    <row r="343" spans="1:61" ht="15.7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7"/>
      <c r="O343" s="17"/>
      <c r="P343" s="15"/>
      <c r="Q343" s="15"/>
      <c r="R343" s="15"/>
      <c r="S343" s="15"/>
      <c r="T343" s="15"/>
      <c r="U343" s="15"/>
      <c r="V343" s="17"/>
      <c r="W343" s="17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  <c r="AW343" s="15"/>
      <c r="AX343" s="15"/>
      <c r="AY343" s="15"/>
      <c r="AZ343" s="15"/>
      <c r="BA343" s="15"/>
      <c r="BB343" s="15"/>
      <c r="BC343" s="15"/>
      <c r="BD343" s="15"/>
      <c r="BE343" s="15"/>
      <c r="BF343" s="15"/>
      <c r="BG343" s="15"/>
      <c r="BH343" s="15"/>
      <c r="BI343" s="15"/>
    </row>
    <row r="344" spans="1:61" ht="15.7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7"/>
      <c r="O344" s="17"/>
      <c r="P344" s="15"/>
      <c r="Q344" s="15"/>
      <c r="R344" s="15"/>
      <c r="S344" s="15"/>
      <c r="T344" s="15"/>
      <c r="U344" s="15"/>
      <c r="V344" s="17"/>
      <c r="W344" s="17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  <c r="AU344" s="15"/>
      <c r="AV344" s="15"/>
      <c r="AW344" s="15"/>
      <c r="AX344" s="15"/>
      <c r="AY344" s="15"/>
      <c r="AZ344" s="15"/>
      <c r="BA344" s="15"/>
      <c r="BB344" s="15"/>
      <c r="BC344" s="15"/>
      <c r="BD344" s="15"/>
      <c r="BE344" s="15"/>
      <c r="BF344" s="15"/>
      <c r="BG344" s="15"/>
      <c r="BH344" s="15"/>
      <c r="BI344" s="15"/>
    </row>
    <row r="345" spans="1:61" ht="15.7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7"/>
      <c r="O345" s="17"/>
      <c r="P345" s="15"/>
      <c r="Q345" s="15"/>
      <c r="R345" s="15"/>
      <c r="S345" s="15"/>
      <c r="T345" s="15"/>
      <c r="U345" s="15"/>
      <c r="V345" s="17"/>
      <c r="W345" s="17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  <c r="AX345" s="15"/>
      <c r="AY345" s="15"/>
      <c r="AZ345" s="15"/>
      <c r="BA345" s="15"/>
      <c r="BB345" s="15"/>
      <c r="BC345" s="15"/>
      <c r="BD345" s="15"/>
      <c r="BE345" s="15"/>
      <c r="BF345" s="15"/>
      <c r="BG345" s="15"/>
      <c r="BH345" s="15"/>
      <c r="BI345" s="15"/>
    </row>
    <row r="346" spans="1:61" ht="15.7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7"/>
      <c r="O346" s="17"/>
      <c r="P346" s="15"/>
      <c r="Q346" s="15"/>
      <c r="R346" s="15"/>
      <c r="S346" s="15"/>
      <c r="T346" s="15"/>
      <c r="U346" s="15"/>
      <c r="V346" s="17"/>
      <c r="W346" s="17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/>
      <c r="AT346" s="15"/>
      <c r="AU346" s="15"/>
      <c r="AV346" s="15"/>
      <c r="AW346" s="15"/>
      <c r="AX346" s="15"/>
      <c r="AY346" s="15"/>
      <c r="AZ346" s="15"/>
      <c r="BA346" s="15"/>
      <c r="BB346" s="15"/>
      <c r="BC346" s="15"/>
      <c r="BD346" s="15"/>
      <c r="BE346" s="15"/>
      <c r="BF346" s="15"/>
      <c r="BG346" s="15"/>
      <c r="BH346" s="15"/>
      <c r="BI346" s="15"/>
    </row>
    <row r="347" spans="1:61" ht="15.7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7"/>
      <c r="O347" s="17"/>
      <c r="P347" s="15"/>
      <c r="Q347" s="15"/>
      <c r="R347" s="15"/>
      <c r="S347" s="15"/>
      <c r="T347" s="15"/>
      <c r="U347" s="15"/>
      <c r="V347" s="17"/>
      <c r="W347" s="17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  <c r="AW347" s="15"/>
      <c r="AX347" s="15"/>
      <c r="AY347" s="15"/>
      <c r="AZ347" s="15"/>
      <c r="BA347" s="15"/>
      <c r="BB347" s="15"/>
      <c r="BC347" s="15"/>
      <c r="BD347" s="15"/>
      <c r="BE347" s="15"/>
      <c r="BF347" s="15"/>
      <c r="BG347" s="15"/>
      <c r="BH347" s="15"/>
      <c r="BI347" s="15"/>
    </row>
    <row r="348" spans="1:61" ht="15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7"/>
      <c r="O348" s="17"/>
      <c r="P348" s="15"/>
      <c r="Q348" s="15"/>
      <c r="R348" s="15"/>
      <c r="S348" s="15"/>
      <c r="T348" s="15"/>
      <c r="U348" s="15"/>
      <c r="V348" s="17"/>
      <c r="W348" s="17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  <c r="AV348" s="15"/>
      <c r="AW348" s="15"/>
      <c r="AX348" s="15"/>
      <c r="AY348" s="15"/>
      <c r="AZ348" s="15"/>
      <c r="BA348" s="15"/>
      <c r="BB348" s="15"/>
      <c r="BC348" s="15"/>
      <c r="BD348" s="15"/>
      <c r="BE348" s="15"/>
      <c r="BF348" s="15"/>
      <c r="BG348" s="15"/>
      <c r="BH348" s="15"/>
      <c r="BI348" s="15"/>
    </row>
    <row r="349" spans="1:61" ht="15.7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7"/>
      <c r="O349" s="17"/>
      <c r="P349" s="15"/>
      <c r="Q349" s="15"/>
      <c r="R349" s="15"/>
      <c r="S349" s="15"/>
      <c r="T349" s="15"/>
      <c r="U349" s="15"/>
      <c r="V349" s="17"/>
      <c r="W349" s="17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  <c r="AW349" s="15"/>
      <c r="AX349" s="15"/>
      <c r="AY349" s="15"/>
      <c r="AZ349" s="15"/>
      <c r="BA349" s="15"/>
      <c r="BB349" s="15"/>
      <c r="BC349" s="15"/>
      <c r="BD349" s="15"/>
      <c r="BE349" s="15"/>
      <c r="BF349" s="15"/>
      <c r="BG349" s="15"/>
      <c r="BH349" s="15"/>
      <c r="BI349" s="15"/>
    </row>
    <row r="350" spans="1:61" ht="15.7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7"/>
      <c r="O350" s="17"/>
      <c r="P350" s="15"/>
      <c r="Q350" s="15"/>
      <c r="R350" s="15"/>
      <c r="S350" s="15"/>
      <c r="T350" s="15"/>
      <c r="U350" s="15"/>
      <c r="V350" s="17"/>
      <c r="W350" s="17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/>
      <c r="AS350" s="15"/>
      <c r="AT350" s="15"/>
      <c r="AU350" s="15"/>
      <c r="AV350" s="15"/>
      <c r="AW350" s="15"/>
      <c r="AX350" s="15"/>
      <c r="AY350" s="15"/>
      <c r="AZ350" s="15"/>
      <c r="BA350" s="15"/>
      <c r="BB350" s="15"/>
      <c r="BC350" s="15"/>
      <c r="BD350" s="15"/>
      <c r="BE350" s="15"/>
      <c r="BF350" s="15"/>
      <c r="BG350" s="15"/>
      <c r="BH350" s="15"/>
      <c r="BI350" s="15"/>
    </row>
    <row r="351" spans="1:61" ht="15.7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7"/>
      <c r="O351" s="17"/>
      <c r="P351" s="15"/>
      <c r="Q351" s="15"/>
      <c r="R351" s="15"/>
      <c r="S351" s="15"/>
      <c r="T351" s="15"/>
      <c r="U351" s="15"/>
      <c r="V351" s="17"/>
      <c r="W351" s="17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  <c r="AW351" s="15"/>
      <c r="AX351" s="15"/>
      <c r="AY351" s="15"/>
      <c r="AZ351" s="15"/>
      <c r="BA351" s="15"/>
      <c r="BB351" s="15"/>
      <c r="BC351" s="15"/>
      <c r="BD351" s="15"/>
      <c r="BE351" s="15"/>
      <c r="BF351" s="15"/>
      <c r="BG351" s="15"/>
      <c r="BH351" s="15"/>
      <c r="BI351" s="15"/>
    </row>
    <row r="352" spans="1:61" ht="15.7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7"/>
      <c r="O352" s="17"/>
      <c r="P352" s="15"/>
      <c r="Q352" s="15"/>
      <c r="R352" s="15"/>
      <c r="S352" s="15"/>
      <c r="T352" s="15"/>
      <c r="U352" s="15"/>
      <c r="V352" s="17"/>
      <c r="W352" s="17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/>
      <c r="AT352" s="15"/>
      <c r="AU352" s="15"/>
      <c r="AV352" s="15"/>
      <c r="AW352" s="15"/>
      <c r="AX352" s="15"/>
      <c r="AY352" s="15"/>
      <c r="AZ352" s="15"/>
      <c r="BA352" s="15"/>
      <c r="BB352" s="15"/>
      <c r="BC352" s="15"/>
      <c r="BD352" s="15"/>
      <c r="BE352" s="15"/>
      <c r="BF352" s="15"/>
      <c r="BG352" s="15"/>
      <c r="BH352" s="15"/>
      <c r="BI352" s="15"/>
    </row>
    <row r="353" spans="1:61" ht="15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7"/>
      <c r="O353" s="17"/>
      <c r="P353" s="15"/>
      <c r="Q353" s="15"/>
      <c r="R353" s="15"/>
      <c r="S353" s="15"/>
      <c r="T353" s="15"/>
      <c r="U353" s="15"/>
      <c r="V353" s="17"/>
      <c r="W353" s="17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  <c r="AW353" s="15"/>
      <c r="AX353" s="15"/>
      <c r="AY353" s="15"/>
      <c r="AZ353" s="15"/>
      <c r="BA353" s="15"/>
      <c r="BB353" s="15"/>
      <c r="BC353" s="15"/>
      <c r="BD353" s="15"/>
      <c r="BE353" s="15"/>
      <c r="BF353" s="15"/>
      <c r="BG353" s="15"/>
      <c r="BH353" s="15"/>
      <c r="BI353" s="15"/>
    </row>
    <row r="354" spans="1:61" ht="15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7"/>
      <c r="O354" s="17"/>
      <c r="P354" s="15"/>
      <c r="Q354" s="15"/>
      <c r="R354" s="15"/>
      <c r="S354" s="15"/>
      <c r="T354" s="15"/>
      <c r="U354" s="15"/>
      <c r="V354" s="17"/>
      <c r="W354" s="17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  <c r="AR354" s="15"/>
      <c r="AS354" s="15"/>
      <c r="AT354" s="15"/>
      <c r="AU354" s="15"/>
      <c r="AV354" s="15"/>
      <c r="AW354" s="15"/>
      <c r="AX354" s="15"/>
      <c r="AY354" s="15"/>
      <c r="AZ354" s="15"/>
      <c r="BA354" s="15"/>
      <c r="BB354" s="15"/>
      <c r="BC354" s="15"/>
      <c r="BD354" s="15"/>
      <c r="BE354" s="15"/>
      <c r="BF354" s="15"/>
      <c r="BG354" s="15"/>
      <c r="BH354" s="15"/>
      <c r="BI354" s="15"/>
    </row>
    <row r="355" spans="1:61" ht="15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7"/>
      <c r="O355" s="17"/>
      <c r="P355" s="15"/>
      <c r="Q355" s="15"/>
      <c r="R355" s="15"/>
      <c r="S355" s="15"/>
      <c r="T355" s="15"/>
      <c r="U355" s="15"/>
      <c r="V355" s="17"/>
      <c r="W355" s="17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  <c r="AV355" s="15"/>
      <c r="AW355" s="15"/>
      <c r="AX355" s="15"/>
      <c r="AY355" s="15"/>
      <c r="AZ355" s="15"/>
      <c r="BA355" s="15"/>
      <c r="BB355" s="15"/>
      <c r="BC355" s="15"/>
      <c r="BD355" s="15"/>
      <c r="BE355" s="15"/>
      <c r="BF355" s="15"/>
      <c r="BG355" s="15"/>
      <c r="BH355" s="15"/>
      <c r="BI355" s="15"/>
    </row>
    <row r="356" spans="1:61" ht="15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7"/>
      <c r="O356" s="17"/>
      <c r="P356" s="15"/>
      <c r="Q356" s="15"/>
      <c r="R356" s="15"/>
      <c r="S356" s="15"/>
      <c r="T356" s="15"/>
      <c r="U356" s="15"/>
      <c r="V356" s="17"/>
      <c r="W356" s="17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  <c r="AV356" s="15"/>
      <c r="AW356" s="15"/>
      <c r="AX356" s="15"/>
      <c r="AY356" s="15"/>
      <c r="AZ356" s="15"/>
      <c r="BA356" s="15"/>
      <c r="BB356" s="15"/>
      <c r="BC356" s="15"/>
      <c r="BD356" s="15"/>
      <c r="BE356" s="15"/>
      <c r="BF356" s="15"/>
      <c r="BG356" s="15"/>
      <c r="BH356" s="15"/>
      <c r="BI356" s="15"/>
    </row>
    <row r="357" spans="1:61" ht="15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7"/>
      <c r="O357" s="17"/>
      <c r="P357" s="15"/>
      <c r="Q357" s="15"/>
      <c r="R357" s="15"/>
      <c r="S357" s="15"/>
      <c r="T357" s="15"/>
      <c r="U357" s="15"/>
      <c r="V357" s="17"/>
      <c r="W357" s="17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  <c r="AW357" s="15"/>
      <c r="AX357" s="15"/>
      <c r="AY357" s="15"/>
      <c r="AZ357" s="15"/>
      <c r="BA357" s="15"/>
      <c r="BB357" s="15"/>
      <c r="BC357" s="15"/>
      <c r="BD357" s="15"/>
      <c r="BE357" s="15"/>
      <c r="BF357" s="15"/>
      <c r="BG357" s="15"/>
      <c r="BH357" s="15"/>
      <c r="BI357" s="15"/>
    </row>
    <row r="358" spans="1:61" ht="15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7"/>
      <c r="O358" s="17"/>
      <c r="P358" s="15"/>
      <c r="Q358" s="15"/>
      <c r="R358" s="15"/>
      <c r="S358" s="15"/>
      <c r="T358" s="15"/>
      <c r="U358" s="15"/>
      <c r="V358" s="17"/>
      <c r="W358" s="17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  <c r="AS358" s="15"/>
      <c r="AT358" s="15"/>
      <c r="AU358" s="15"/>
      <c r="AV358" s="15"/>
      <c r="AW358" s="15"/>
      <c r="AX358" s="15"/>
      <c r="AY358" s="15"/>
      <c r="AZ358" s="15"/>
      <c r="BA358" s="15"/>
      <c r="BB358" s="15"/>
      <c r="BC358" s="15"/>
      <c r="BD358" s="15"/>
      <c r="BE358" s="15"/>
      <c r="BF358" s="15"/>
      <c r="BG358" s="15"/>
      <c r="BH358" s="15"/>
      <c r="BI358" s="15"/>
    </row>
    <row r="359" spans="1:61" ht="15.7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7"/>
      <c r="O359" s="17"/>
      <c r="P359" s="15"/>
      <c r="Q359" s="15"/>
      <c r="R359" s="15"/>
      <c r="S359" s="15"/>
      <c r="T359" s="15"/>
      <c r="U359" s="15"/>
      <c r="V359" s="17"/>
      <c r="W359" s="17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  <c r="AV359" s="15"/>
      <c r="AW359" s="15"/>
      <c r="AX359" s="15"/>
      <c r="AY359" s="15"/>
      <c r="AZ359" s="15"/>
      <c r="BA359" s="15"/>
      <c r="BB359" s="15"/>
      <c r="BC359" s="15"/>
      <c r="BD359" s="15"/>
      <c r="BE359" s="15"/>
      <c r="BF359" s="15"/>
      <c r="BG359" s="15"/>
      <c r="BH359" s="15"/>
      <c r="BI359" s="15"/>
    </row>
    <row r="360" spans="1:61" ht="15.7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7"/>
      <c r="O360" s="17"/>
      <c r="P360" s="15"/>
      <c r="Q360" s="15"/>
      <c r="R360" s="15"/>
      <c r="S360" s="15"/>
      <c r="T360" s="15"/>
      <c r="U360" s="15"/>
      <c r="V360" s="17"/>
      <c r="W360" s="17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  <c r="AS360" s="15"/>
      <c r="AT360" s="15"/>
      <c r="AU360" s="15"/>
      <c r="AV360" s="15"/>
      <c r="AW360" s="15"/>
      <c r="AX360" s="15"/>
      <c r="AY360" s="15"/>
      <c r="AZ360" s="15"/>
      <c r="BA360" s="15"/>
      <c r="BB360" s="15"/>
      <c r="BC360" s="15"/>
      <c r="BD360" s="15"/>
      <c r="BE360" s="15"/>
      <c r="BF360" s="15"/>
      <c r="BG360" s="15"/>
      <c r="BH360" s="15"/>
      <c r="BI360" s="15"/>
    </row>
    <row r="361" spans="1:61" ht="15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7"/>
      <c r="O361" s="17"/>
      <c r="P361" s="15"/>
      <c r="Q361" s="15"/>
      <c r="R361" s="15"/>
      <c r="S361" s="15"/>
      <c r="T361" s="15"/>
      <c r="U361" s="15"/>
      <c r="V361" s="17"/>
      <c r="W361" s="17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5"/>
      <c r="AV361" s="15"/>
      <c r="AW361" s="15"/>
      <c r="AX361" s="15"/>
      <c r="AY361" s="15"/>
      <c r="AZ361" s="15"/>
      <c r="BA361" s="15"/>
      <c r="BB361" s="15"/>
      <c r="BC361" s="15"/>
      <c r="BD361" s="15"/>
      <c r="BE361" s="15"/>
      <c r="BF361" s="15"/>
      <c r="BG361" s="15"/>
      <c r="BH361" s="15"/>
      <c r="BI361" s="15"/>
    </row>
    <row r="362" spans="1:61" ht="15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7"/>
      <c r="O362" s="17"/>
      <c r="P362" s="15"/>
      <c r="Q362" s="15"/>
      <c r="R362" s="15"/>
      <c r="S362" s="15"/>
      <c r="T362" s="15"/>
      <c r="U362" s="15"/>
      <c r="V362" s="17"/>
      <c r="W362" s="17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5"/>
      <c r="AQ362" s="15"/>
      <c r="AR362" s="15"/>
      <c r="AS362" s="15"/>
      <c r="AT362" s="15"/>
      <c r="AU362" s="15"/>
      <c r="AV362" s="15"/>
      <c r="AW362" s="15"/>
      <c r="AX362" s="15"/>
      <c r="AY362" s="15"/>
      <c r="AZ362" s="15"/>
      <c r="BA362" s="15"/>
      <c r="BB362" s="15"/>
      <c r="BC362" s="15"/>
      <c r="BD362" s="15"/>
      <c r="BE362" s="15"/>
      <c r="BF362" s="15"/>
      <c r="BG362" s="15"/>
      <c r="BH362" s="15"/>
      <c r="BI362" s="15"/>
    </row>
    <row r="363" spans="1:61" ht="15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7"/>
      <c r="O363" s="17"/>
      <c r="P363" s="15"/>
      <c r="Q363" s="15"/>
      <c r="R363" s="15"/>
      <c r="S363" s="15"/>
      <c r="T363" s="15"/>
      <c r="U363" s="15"/>
      <c r="V363" s="17"/>
      <c r="W363" s="17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  <c r="AV363" s="15"/>
      <c r="AW363" s="15"/>
      <c r="AX363" s="15"/>
      <c r="AY363" s="15"/>
      <c r="AZ363" s="15"/>
      <c r="BA363" s="15"/>
      <c r="BB363" s="15"/>
      <c r="BC363" s="15"/>
      <c r="BD363" s="15"/>
      <c r="BE363" s="15"/>
      <c r="BF363" s="15"/>
      <c r="BG363" s="15"/>
      <c r="BH363" s="15"/>
      <c r="BI363" s="15"/>
    </row>
    <row r="364" spans="1:61" ht="15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7"/>
      <c r="O364" s="17"/>
      <c r="P364" s="15"/>
      <c r="Q364" s="15"/>
      <c r="R364" s="15"/>
      <c r="S364" s="15"/>
      <c r="T364" s="15"/>
      <c r="U364" s="15"/>
      <c r="V364" s="17"/>
      <c r="W364" s="17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5"/>
      <c r="AQ364" s="15"/>
      <c r="AR364" s="15"/>
      <c r="AS364" s="15"/>
      <c r="AT364" s="15"/>
      <c r="AU364" s="15"/>
      <c r="AV364" s="15"/>
      <c r="AW364" s="15"/>
      <c r="AX364" s="15"/>
      <c r="AY364" s="15"/>
      <c r="AZ364" s="15"/>
      <c r="BA364" s="15"/>
      <c r="BB364" s="15"/>
      <c r="BC364" s="15"/>
      <c r="BD364" s="15"/>
      <c r="BE364" s="15"/>
      <c r="BF364" s="15"/>
      <c r="BG364" s="15"/>
      <c r="BH364" s="15"/>
      <c r="BI364" s="15"/>
    </row>
    <row r="365" spans="1:61" ht="15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7"/>
      <c r="O365" s="17"/>
      <c r="P365" s="15"/>
      <c r="Q365" s="15"/>
      <c r="R365" s="15"/>
      <c r="S365" s="15"/>
      <c r="T365" s="15"/>
      <c r="U365" s="15"/>
      <c r="V365" s="17"/>
      <c r="W365" s="17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  <c r="AV365" s="15"/>
      <c r="AW365" s="15"/>
      <c r="AX365" s="15"/>
      <c r="AY365" s="15"/>
      <c r="AZ365" s="15"/>
      <c r="BA365" s="15"/>
      <c r="BB365" s="15"/>
      <c r="BC365" s="15"/>
      <c r="BD365" s="15"/>
      <c r="BE365" s="15"/>
      <c r="BF365" s="15"/>
      <c r="BG365" s="15"/>
      <c r="BH365" s="15"/>
      <c r="BI365" s="15"/>
    </row>
    <row r="366" spans="1:61" ht="15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7"/>
      <c r="O366" s="17"/>
      <c r="P366" s="15"/>
      <c r="Q366" s="15"/>
      <c r="R366" s="15"/>
      <c r="S366" s="15"/>
      <c r="T366" s="15"/>
      <c r="U366" s="15"/>
      <c r="V366" s="17"/>
      <c r="W366" s="17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5"/>
      <c r="AQ366" s="15"/>
      <c r="AR366" s="15"/>
      <c r="AS366" s="15"/>
      <c r="AT366" s="15"/>
      <c r="AU366" s="15"/>
      <c r="AV366" s="15"/>
      <c r="AW366" s="15"/>
      <c r="AX366" s="15"/>
      <c r="AY366" s="15"/>
      <c r="AZ366" s="15"/>
      <c r="BA366" s="15"/>
      <c r="BB366" s="15"/>
      <c r="BC366" s="15"/>
      <c r="BD366" s="15"/>
      <c r="BE366" s="15"/>
      <c r="BF366" s="15"/>
      <c r="BG366" s="15"/>
      <c r="BH366" s="15"/>
      <c r="BI366" s="15"/>
    </row>
    <row r="367" spans="1:61" ht="15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7"/>
      <c r="O367" s="17"/>
      <c r="P367" s="15"/>
      <c r="Q367" s="15"/>
      <c r="R367" s="15"/>
      <c r="S367" s="15"/>
      <c r="T367" s="15"/>
      <c r="U367" s="15"/>
      <c r="V367" s="17"/>
      <c r="W367" s="17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  <c r="AV367" s="15"/>
      <c r="AW367" s="15"/>
      <c r="AX367" s="15"/>
      <c r="AY367" s="15"/>
      <c r="AZ367" s="15"/>
      <c r="BA367" s="15"/>
      <c r="BB367" s="15"/>
      <c r="BC367" s="15"/>
      <c r="BD367" s="15"/>
      <c r="BE367" s="15"/>
      <c r="BF367" s="15"/>
      <c r="BG367" s="15"/>
      <c r="BH367" s="15"/>
      <c r="BI367" s="15"/>
    </row>
    <row r="368" spans="1:61" ht="15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7"/>
      <c r="O368" s="17"/>
      <c r="P368" s="15"/>
      <c r="Q368" s="15"/>
      <c r="R368" s="15"/>
      <c r="S368" s="15"/>
      <c r="T368" s="15"/>
      <c r="U368" s="15"/>
      <c r="V368" s="17"/>
      <c r="W368" s="17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  <c r="AQ368" s="15"/>
      <c r="AR368" s="15"/>
      <c r="AS368" s="15"/>
      <c r="AT368" s="15"/>
      <c r="AU368" s="15"/>
      <c r="AV368" s="15"/>
      <c r="AW368" s="15"/>
      <c r="AX368" s="15"/>
      <c r="AY368" s="15"/>
      <c r="AZ368" s="15"/>
      <c r="BA368" s="15"/>
      <c r="BB368" s="15"/>
      <c r="BC368" s="15"/>
      <c r="BD368" s="15"/>
      <c r="BE368" s="15"/>
      <c r="BF368" s="15"/>
      <c r="BG368" s="15"/>
      <c r="BH368" s="15"/>
      <c r="BI368" s="15"/>
    </row>
    <row r="369" spans="1:61" ht="15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7"/>
      <c r="O369" s="17"/>
      <c r="P369" s="15"/>
      <c r="Q369" s="15"/>
      <c r="R369" s="15"/>
      <c r="S369" s="15"/>
      <c r="T369" s="15"/>
      <c r="U369" s="15"/>
      <c r="V369" s="17"/>
      <c r="W369" s="17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  <c r="AX369" s="15"/>
      <c r="AY369" s="15"/>
      <c r="AZ369" s="15"/>
      <c r="BA369" s="15"/>
      <c r="BB369" s="15"/>
      <c r="BC369" s="15"/>
      <c r="BD369" s="15"/>
      <c r="BE369" s="15"/>
      <c r="BF369" s="15"/>
      <c r="BG369" s="15"/>
      <c r="BH369" s="15"/>
      <c r="BI369" s="15"/>
    </row>
    <row r="370" spans="1:61" ht="15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7"/>
      <c r="O370" s="17"/>
      <c r="P370" s="15"/>
      <c r="Q370" s="15"/>
      <c r="R370" s="15"/>
      <c r="S370" s="15"/>
      <c r="T370" s="15"/>
      <c r="U370" s="15"/>
      <c r="V370" s="17"/>
      <c r="W370" s="17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5"/>
      <c r="AQ370" s="15"/>
      <c r="AR370" s="15"/>
      <c r="AS370" s="15"/>
      <c r="AT370" s="15"/>
      <c r="AU370" s="15"/>
      <c r="AV370" s="15"/>
      <c r="AW370" s="15"/>
      <c r="AX370" s="15"/>
      <c r="AY370" s="15"/>
      <c r="AZ370" s="15"/>
      <c r="BA370" s="15"/>
      <c r="BB370" s="15"/>
      <c r="BC370" s="15"/>
      <c r="BD370" s="15"/>
      <c r="BE370" s="15"/>
      <c r="BF370" s="15"/>
      <c r="BG370" s="15"/>
      <c r="BH370" s="15"/>
      <c r="BI370" s="15"/>
    </row>
    <row r="371" spans="1:61" ht="15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7"/>
      <c r="O371" s="17"/>
      <c r="P371" s="15"/>
      <c r="Q371" s="15"/>
      <c r="R371" s="15"/>
      <c r="S371" s="15"/>
      <c r="T371" s="15"/>
      <c r="U371" s="15"/>
      <c r="V371" s="17"/>
      <c r="W371" s="17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AV371" s="15"/>
      <c r="AW371" s="15"/>
      <c r="AX371" s="15"/>
      <c r="AY371" s="15"/>
      <c r="AZ371" s="15"/>
      <c r="BA371" s="15"/>
      <c r="BB371" s="15"/>
      <c r="BC371" s="15"/>
      <c r="BD371" s="15"/>
      <c r="BE371" s="15"/>
      <c r="BF371" s="15"/>
      <c r="BG371" s="15"/>
      <c r="BH371" s="15"/>
      <c r="BI371" s="15"/>
    </row>
    <row r="372" spans="1:61" ht="15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7"/>
      <c r="O372" s="17"/>
      <c r="P372" s="15"/>
      <c r="Q372" s="15"/>
      <c r="R372" s="15"/>
      <c r="S372" s="15"/>
      <c r="T372" s="15"/>
      <c r="U372" s="15"/>
      <c r="V372" s="17"/>
      <c r="W372" s="17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P372" s="15"/>
      <c r="AQ372" s="15"/>
      <c r="AR372" s="15"/>
      <c r="AS372" s="15"/>
      <c r="AT372" s="15"/>
      <c r="AU372" s="15"/>
      <c r="AV372" s="15"/>
      <c r="AW372" s="15"/>
      <c r="AX372" s="15"/>
      <c r="AY372" s="15"/>
      <c r="AZ372" s="15"/>
      <c r="BA372" s="15"/>
      <c r="BB372" s="15"/>
      <c r="BC372" s="15"/>
      <c r="BD372" s="15"/>
      <c r="BE372" s="15"/>
      <c r="BF372" s="15"/>
      <c r="BG372" s="15"/>
      <c r="BH372" s="15"/>
      <c r="BI372" s="15"/>
    </row>
    <row r="373" spans="1:61" ht="15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7"/>
      <c r="O373" s="17"/>
      <c r="P373" s="15"/>
      <c r="Q373" s="15"/>
      <c r="R373" s="15"/>
      <c r="S373" s="15"/>
      <c r="T373" s="15"/>
      <c r="U373" s="15"/>
      <c r="V373" s="17"/>
      <c r="W373" s="17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AV373" s="15"/>
      <c r="AW373" s="15"/>
      <c r="AX373" s="15"/>
      <c r="AY373" s="15"/>
      <c r="AZ373" s="15"/>
      <c r="BA373" s="15"/>
      <c r="BB373" s="15"/>
      <c r="BC373" s="15"/>
      <c r="BD373" s="15"/>
      <c r="BE373" s="15"/>
      <c r="BF373" s="15"/>
      <c r="BG373" s="15"/>
      <c r="BH373" s="15"/>
      <c r="BI373" s="15"/>
    </row>
    <row r="374" spans="1:61" ht="15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7"/>
      <c r="O374" s="17"/>
      <c r="P374" s="15"/>
      <c r="Q374" s="15"/>
      <c r="R374" s="15"/>
      <c r="S374" s="15"/>
      <c r="T374" s="15"/>
      <c r="U374" s="15"/>
      <c r="V374" s="17"/>
      <c r="W374" s="17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  <c r="AP374" s="15"/>
      <c r="AQ374" s="15"/>
      <c r="AR374" s="15"/>
      <c r="AS374" s="15"/>
      <c r="AT374" s="15"/>
      <c r="AU374" s="15"/>
      <c r="AV374" s="15"/>
      <c r="AW374" s="15"/>
      <c r="AX374" s="15"/>
      <c r="AY374" s="15"/>
      <c r="AZ374" s="15"/>
      <c r="BA374" s="15"/>
      <c r="BB374" s="15"/>
      <c r="BC374" s="15"/>
      <c r="BD374" s="15"/>
      <c r="BE374" s="15"/>
      <c r="BF374" s="15"/>
      <c r="BG374" s="15"/>
      <c r="BH374" s="15"/>
      <c r="BI374" s="15"/>
    </row>
    <row r="375" spans="1:61" ht="15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7"/>
      <c r="O375" s="17"/>
      <c r="P375" s="15"/>
      <c r="Q375" s="15"/>
      <c r="R375" s="15"/>
      <c r="S375" s="15"/>
      <c r="T375" s="15"/>
      <c r="U375" s="15"/>
      <c r="V375" s="17"/>
      <c r="W375" s="17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  <c r="AX375" s="15"/>
      <c r="AY375" s="15"/>
      <c r="AZ375" s="15"/>
      <c r="BA375" s="15"/>
      <c r="BB375" s="15"/>
      <c r="BC375" s="15"/>
      <c r="BD375" s="15"/>
      <c r="BE375" s="15"/>
      <c r="BF375" s="15"/>
      <c r="BG375" s="15"/>
      <c r="BH375" s="15"/>
      <c r="BI375" s="15"/>
    </row>
    <row r="376" spans="1:61" ht="15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7"/>
      <c r="O376" s="17"/>
      <c r="P376" s="15"/>
      <c r="Q376" s="15"/>
      <c r="R376" s="15"/>
      <c r="S376" s="15"/>
      <c r="T376" s="15"/>
      <c r="U376" s="15"/>
      <c r="V376" s="17"/>
      <c r="W376" s="17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  <c r="AQ376" s="15"/>
      <c r="AR376" s="15"/>
      <c r="AS376" s="15"/>
      <c r="AT376" s="15"/>
      <c r="AU376" s="15"/>
      <c r="AV376" s="15"/>
      <c r="AW376" s="15"/>
      <c r="AX376" s="15"/>
      <c r="AY376" s="15"/>
      <c r="AZ376" s="15"/>
      <c r="BA376" s="15"/>
      <c r="BB376" s="15"/>
      <c r="BC376" s="15"/>
      <c r="BD376" s="15"/>
      <c r="BE376" s="15"/>
      <c r="BF376" s="15"/>
      <c r="BG376" s="15"/>
      <c r="BH376" s="15"/>
      <c r="BI376" s="15"/>
    </row>
    <row r="377" spans="1:61" ht="15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7"/>
      <c r="O377" s="17"/>
      <c r="P377" s="15"/>
      <c r="Q377" s="15"/>
      <c r="R377" s="15"/>
      <c r="S377" s="15"/>
      <c r="T377" s="15"/>
      <c r="U377" s="15"/>
      <c r="V377" s="17"/>
      <c r="W377" s="17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5"/>
      <c r="AW377" s="15"/>
      <c r="AX377" s="15"/>
      <c r="AY377" s="15"/>
      <c r="AZ377" s="15"/>
      <c r="BA377" s="15"/>
      <c r="BB377" s="15"/>
      <c r="BC377" s="15"/>
      <c r="BD377" s="15"/>
      <c r="BE377" s="15"/>
      <c r="BF377" s="15"/>
      <c r="BG377" s="15"/>
      <c r="BH377" s="15"/>
      <c r="BI377" s="15"/>
    </row>
    <row r="378" spans="1:61" ht="15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7"/>
      <c r="O378" s="17"/>
      <c r="P378" s="15"/>
      <c r="Q378" s="15"/>
      <c r="R378" s="15"/>
      <c r="S378" s="15"/>
      <c r="T378" s="15"/>
      <c r="U378" s="15"/>
      <c r="V378" s="17"/>
      <c r="W378" s="17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  <c r="AS378" s="15"/>
      <c r="AT378" s="15"/>
      <c r="AU378" s="15"/>
      <c r="AV378" s="15"/>
      <c r="AW378" s="15"/>
      <c r="AX378" s="15"/>
      <c r="AY378" s="15"/>
      <c r="AZ378" s="15"/>
      <c r="BA378" s="15"/>
      <c r="BB378" s="15"/>
      <c r="BC378" s="15"/>
      <c r="BD378" s="15"/>
      <c r="BE378" s="15"/>
      <c r="BF378" s="15"/>
      <c r="BG378" s="15"/>
      <c r="BH378" s="15"/>
      <c r="BI378" s="15"/>
    </row>
    <row r="379" spans="1:61" ht="15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7"/>
      <c r="O379" s="17"/>
      <c r="P379" s="15"/>
      <c r="Q379" s="15"/>
      <c r="R379" s="15"/>
      <c r="S379" s="15"/>
      <c r="T379" s="15"/>
      <c r="U379" s="15"/>
      <c r="V379" s="17"/>
      <c r="W379" s="17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  <c r="AW379" s="15"/>
      <c r="AX379" s="15"/>
      <c r="AY379" s="15"/>
      <c r="AZ379" s="15"/>
      <c r="BA379" s="15"/>
      <c r="BB379" s="15"/>
      <c r="BC379" s="15"/>
      <c r="BD379" s="15"/>
      <c r="BE379" s="15"/>
      <c r="BF379" s="15"/>
      <c r="BG379" s="15"/>
      <c r="BH379" s="15"/>
      <c r="BI379" s="15"/>
    </row>
    <row r="380" spans="1:61" ht="15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7"/>
      <c r="O380" s="17"/>
      <c r="P380" s="15"/>
      <c r="Q380" s="15"/>
      <c r="R380" s="15"/>
      <c r="S380" s="15"/>
      <c r="T380" s="15"/>
      <c r="U380" s="15"/>
      <c r="V380" s="17"/>
      <c r="W380" s="17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5"/>
      <c r="AQ380" s="15"/>
      <c r="AR380" s="15"/>
      <c r="AS380" s="15"/>
      <c r="AT380" s="15"/>
      <c r="AU380" s="15"/>
      <c r="AV380" s="15"/>
      <c r="AW380" s="15"/>
      <c r="AX380" s="15"/>
      <c r="AY380" s="15"/>
      <c r="AZ380" s="15"/>
      <c r="BA380" s="15"/>
      <c r="BB380" s="15"/>
      <c r="BC380" s="15"/>
      <c r="BD380" s="15"/>
      <c r="BE380" s="15"/>
      <c r="BF380" s="15"/>
      <c r="BG380" s="15"/>
      <c r="BH380" s="15"/>
      <c r="BI380" s="15"/>
    </row>
    <row r="381" spans="1:61" ht="15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7"/>
      <c r="O381" s="17"/>
      <c r="P381" s="15"/>
      <c r="Q381" s="15"/>
      <c r="R381" s="15"/>
      <c r="S381" s="15"/>
      <c r="T381" s="15"/>
      <c r="U381" s="15"/>
      <c r="V381" s="17"/>
      <c r="W381" s="17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  <c r="AV381" s="15"/>
      <c r="AW381" s="15"/>
      <c r="AX381" s="15"/>
      <c r="AY381" s="15"/>
      <c r="AZ381" s="15"/>
      <c r="BA381" s="15"/>
      <c r="BB381" s="15"/>
      <c r="BC381" s="15"/>
      <c r="BD381" s="15"/>
      <c r="BE381" s="15"/>
      <c r="BF381" s="15"/>
      <c r="BG381" s="15"/>
      <c r="BH381" s="15"/>
      <c r="BI381" s="15"/>
    </row>
    <row r="382" spans="1:61" ht="15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7"/>
      <c r="O382" s="17"/>
      <c r="P382" s="15"/>
      <c r="Q382" s="15"/>
      <c r="R382" s="15"/>
      <c r="S382" s="15"/>
      <c r="T382" s="15"/>
      <c r="U382" s="15"/>
      <c r="V382" s="17"/>
      <c r="W382" s="17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  <c r="AP382" s="15"/>
      <c r="AQ382" s="15"/>
      <c r="AR382" s="15"/>
      <c r="AS382" s="15"/>
      <c r="AT382" s="15"/>
      <c r="AU382" s="15"/>
      <c r="AV382" s="15"/>
      <c r="AW382" s="15"/>
      <c r="AX382" s="15"/>
      <c r="AY382" s="15"/>
      <c r="AZ382" s="15"/>
      <c r="BA382" s="15"/>
      <c r="BB382" s="15"/>
      <c r="BC382" s="15"/>
      <c r="BD382" s="15"/>
      <c r="BE382" s="15"/>
      <c r="BF382" s="15"/>
      <c r="BG382" s="15"/>
      <c r="BH382" s="15"/>
      <c r="BI382" s="15"/>
    </row>
    <row r="383" spans="1:61" ht="15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7"/>
      <c r="O383" s="17"/>
      <c r="P383" s="15"/>
      <c r="Q383" s="15"/>
      <c r="R383" s="15"/>
      <c r="S383" s="15"/>
      <c r="T383" s="15"/>
      <c r="U383" s="15"/>
      <c r="V383" s="17"/>
      <c r="W383" s="17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5"/>
      <c r="AW383" s="15"/>
      <c r="AX383" s="15"/>
      <c r="AY383" s="15"/>
      <c r="AZ383" s="15"/>
      <c r="BA383" s="15"/>
      <c r="BB383" s="15"/>
      <c r="BC383" s="15"/>
      <c r="BD383" s="15"/>
      <c r="BE383" s="15"/>
      <c r="BF383" s="15"/>
      <c r="BG383" s="15"/>
      <c r="BH383" s="15"/>
      <c r="BI383" s="15"/>
    </row>
    <row r="384" spans="1:61" ht="15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7"/>
      <c r="O384" s="17"/>
      <c r="P384" s="15"/>
      <c r="Q384" s="15"/>
      <c r="R384" s="15"/>
      <c r="S384" s="15"/>
      <c r="T384" s="15"/>
      <c r="U384" s="15"/>
      <c r="V384" s="17"/>
      <c r="W384" s="17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  <c r="AR384" s="15"/>
      <c r="AS384" s="15"/>
      <c r="AT384" s="15"/>
      <c r="AU384" s="15"/>
      <c r="AV384" s="15"/>
      <c r="AW384" s="15"/>
      <c r="AX384" s="15"/>
      <c r="AY384" s="15"/>
      <c r="AZ384" s="15"/>
      <c r="BA384" s="15"/>
      <c r="BB384" s="15"/>
      <c r="BC384" s="15"/>
      <c r="BD384" s="15"/>
      <c r="BE384" s="15"/>
      <c r="BF384" s="15"/>
      <c r="BG384" s="15"/>
      <c r="BH384" s="15"/>
      <c r="BI384" s="15"/>
    </row>
    <row r="385" spans="1:61" ht="15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7"/>
      <c r="O385" s="17"/>
      <c r="P385" s="15"/>
      <c r="Q385" s="15"/>
      <c r="R385" s="15"/>
      <c r="S385" s="15"/>
      <c r="T385" s="15"/>
      <c r="U385" s="15"/>
      <c r="V385" s="17"/>
      <c r="W385" s="17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  <c r="AX385" s="15"/>
      <c r="AY385" s="15"/>
      <c r="AZ385" s="15"/>
      <c r="BA385" s="15"/>
      <c r="BB385" s="15"/>
      <c r="BC385" s="15"/>
      <c r="BD385" s="15"/>
      <c r="BE385" s="15"/>
      <c r="BF385" s="15"/>
      <c r="BG385" s="15"/>
      <c r="BH385" s="15"/>
      <c r="BI385" s="15"/>
    </row>
    <row r="386" spans="1:61" ht="15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7"/>
      <c r="O386" s="17"/>
      <c r="P386" s="15"/>
      <c r="Q386" s="15"/>
      <c r="R386" s="15"/>
      <c r="S386" s="15"/>
      <c r="T386" s="15"/>
      <c r="U386" s="15"/>
      <c r="V386" s="17"/>
      <c r="W386" s="17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  <c r="AS386" s="15"/>
      <c r="AT386" s="15"/>
      <c r="AU386" s="15"/>
      <c r="AV386" s="15"/>
      <c r="AW386" s="15"/>
      <c r="AX386" s="15"/>
      <c r="AY386" s="15"/>
      <c r="AZ386" s="15"/>
      <c r="BA386" s="15"/>
      <c r="BB386" s="15"/>
      <c r="BC386" s="15"/>
      <c r="BD386" s="15"/>
      <c r="BE386" s="15"/>
      <c r="BF386" s="15"/>
      <c r="BG386" s="15"/>
      <c r="BH386" s="15"/>
      <c r="BI386" s="15"/>
    </row>
    <row r="387" spans="1:61" ht="15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7"/>
      <c r="O387" s="17"/>
      <c r="P387" s="15"/>
      <c r="Q387" s="15"/>
      <c r="R387" s="15"/>
      <c r="S387" s="15"/>
      <c r="T387" s="15"/>
      <c r="U387" s="15"/>
      <c r="V387" s="17"/>
      <c r="W387" s="17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  <c r="AW387" s="15"/>
      <c r="AX387" s="15"/>
      <c r="AY387" s="15"/>
      <c r="AZ387" s="15"/>
      <c r="BA387" s="15"/>
      <c r="BB387" s="15"/>
      <c r="BC387" s="15"/>
      <c r="BD387" s="15"/>
      <c r="BE387" s="15"/>
      <c r="BF387" s="15"/>
      <c r="BG387" s="15"/>
      <c r="BH387" s="15"/>
      <c r="BI387" s="15"/>
    </row>
    <row r="388" spans="1:61" ht="15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7"/>
      <c r="O388" s="17"/>
      <c r="P388" s="15"/>
      <c r="Q388" s="15"/>
      <c r="R388" s="15"/>
      <c r="S388" s="15"/>
      <c r="T388" s="15"/>
      <c r="U388" s="15"/>
      <c r="V388" s="17"/>
      <c r="W388" s="17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  <c r="AV388" s="15"/>
      <c r="AW388" s="15"/>
      <c r="AX388" s="15"/>
      <c r="AY388" s="15"/>
      <c r="AZ388" s="15"/>
      <c r="BA388" s="15"/>
      <c r="BB388" s="15"/>
      <c r="BC388" s="15"/>
      <c r="BD388" s="15"/>
      <c r="BE388" s="15"/>
      <c r="BF388" s="15"/>
      <c r="BG388" s="15"/>
      <c r="BH388" s="15"/>
      <c r="BI388" s="15"/>
    </row>
    <row r="389" spans="1:61" ht="15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7"/>
      <c r="O389" s="17"/>
      <c r="P389" s="15"/>
      <c r="Q389" s="15"/>
      <c r="R389" s="15"/>
      <c r="S389" s="15"/>
      <c r="T389" s="15"/>
      <c r="U389" s="15"/>
      <c r="V389" s="17"/>
      <c r="W389" s="17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5"/>
      <c r="AW389" s="15"/>
      <c r="AX389" s="15"/>
      <c r="AY389" s="15"/>
      <c r="AZ389" s="15"/>
      <c r="BA389" s="15"/>
      <c r="BB389" s="15"/>
      <c r="BC389" s="15"/>
      <c r="BD389" s="15"/>
      <c r="BE389" s="15"/>
      <c r="BF389" s="15"/>
      <c r="BG389" s="15"/>
      <c r="BH389" s="15"/>
      <c r="BI389" s="15"/>
    </row>
    <row r="390" spans="1:61" ht="15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7"/>
      <c r="O390" s="17"/>
      <c r="P390" s="15"/>
      <c r="Q390" s="15"/>
      <c r="R390" s="15"/>
      <c r="S390" s="15"/>
      <c r="T390" s="15"/>
      <c r="U390" s="15"/>
      <c r="V390" s="17"/>
      <c r="W390" s="17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  <c r="AP390" s="15"/>
      <c r="AQ390" s="15"/>
      <c r="AR390" s="15"/>
      <c r="AS390" s="15"/>
      <c r="AT390" s="15"/>
      <c r="AU390" s="15"/>
      <c r="AV390" s="15"/>
      <c r="AW390" s="15"/>
      <c r="AX390" s="15"/>
      <c r="AY390" s="15"/>
      <c r="AZ390" s="15"/>
      <c r="BA390" s="15"/>
      <c r="BB390" s="15"/>
      <c r="BC390" s="15"/>
      <c r="BD390" s="15"/>
      <c r="BE390" s="15"/>
      <c r="BF390" s="15"/>
      <c r="BG390" s="15"/>
      <c r="BH390" s="15"/>
      <c r="BI390" s="15"/>
    </row>
    <row r="391" spans="1:61" ht="15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7"/>
      <c r="O391" s="17"/>
      <c r="P391" s="15"/>
      <c r="Q391" s="15"/>
      <c r="R391" s="15"/>
      <c r="S391" s="15"/>
      <c r="T391" s="15"/>
      <c r="U391" s="15"/>
      <c r="V391" s="17"/>
      <c r="W391" s="17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15"/>
      <c r="AW391" s="15"/>
      <c r="AX391" s="15"/>
      <c r="AY391" s="15"/>
      <c r="AZ391" s="15"/>
      <c r="BA391" s="15"/>
      <c r="BB391" s="15"/>
      <c r="BC391" s="15"/>
      <c r="BD391" s="15"/>
      <c r="BE391" s="15"/>
      <c r="BF391" s="15"/>
      <c r="BG391" s="15"/>
      <c r="BH391" s="15"/>
      <c r="BI391" s="15"/>
    </row>
    <row r="392" spans="1:61" ht="15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7"/>
      <c r="O392" s="17"/>
      <c r="P392" s="15"/>
      <c r="Q392" s="15"/>
      <c r="R392" s="15"/>
      <c r="S392" s="15"/>
      <c r="T392" s="15"/>
      <c r="U392" s="15"/>
      <c r="V392" s="17"/>
      <c r="W392" s="17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  <c r="AT392" s="15"/>
      <c r="AU392" s="15"/>
      <c r="AV392" s="15"/>
      <c r="AW392" s="15"/>
      <c r="AX392" s="15"/>
      <c r="AY392" s="15"/>
      <c r="AZ392" s="15"/>
      <c r="BA392" s="15"/>
      <c r="BB392" s="15"/>
      <c r="BC392" s="15"/>
      <c r="BD392" s="15"/>
      <c r="BE392" s="15"/>
      <c r="BF392" s="15"/>
      <c r="BG392" s="15"/>
      <c r="BH392" s="15"/>
      <c r="BI392" s="15"/>
    </row>
    <row r="393" spans="1:61" ht="15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7"/>
      <c r="O393" s="17"/>
      <c r="P393" s="15"/>
      <c r="Q393" s="15"/>
      <c r="R393" s="15"/>
      <c r="S393" s="15"/>
      <c r="T393" s="15"/>
      <c r="U393" s="15"/>
      <c r="V393" s="17"/>
      <c r="W393" s="17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5"/>
      <c r="AW393" s="15"/>
      <c r="AX393" s="15"/>
      <c r="AY393" s="15"/>
      <c r="AZ393" s="15"/>
      <c r="BA393" s="15"/>
      <c r="BB393" s="15"/>
      <c r="BC393" s="15"/>
      <c r="BD393" s="15"/>
      <c r="BE393" s="15"/>
      <c r="BF393" s="15"/>
      <c r="BG393" s="15"/>
      <c r="BH393" s="15"/>
      <c r="BI393" s="15"/>
    </row>
    <row r="394" spans="1:61" ht="15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7"/>
      <c r="O394" s="17"/>
      <c r="P394" s="15"/>
      <c r="Q394" s="15"/>
      <c r="R394" s="15"/>
      <c r="S394" s="15"/>
      <c r="T394" s="15"/>
      <c r="U394" s="15"/>
      <c r="V394" s="17"/>
      <c r="W394" s="17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  <c r="AP394" s="15"/>
      <c r="AQ394" s="15"/>
      <c r="AR394" s="15"/>
      <c r="AS394" s="15"/>
      <c r="AT394" s="15"/>
      <c r="AU394" s="15"/>
      <c r="AV394" s="15"/>
      <c r="AW394" s="15"/>
      <c r="AX394" s="15"/>
      <c r="AY394" s="15"/>
      <c r="AZ394" s="15"/>
      <c r="BA394" s="15"/>
      <c r="BB394" s="15"/>
      <c r="BC394" s="15"/>
      <c r="BD394" s="15"/>
      <c r="BE394" s="15"/>
      <c r="BF394" s="15"/>
      <c r="BG394" s="15"/>
      <c r="BH394" s="15"/>
      <c r="BI394" s="15"/>
    </row>
    <row r="395" spans="1:61" ht="15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7"/>
      <c r="O395" s="17"/>
      <c r="P395" s="15"/>
      <c r="Q395" s="15"/>
      <c r="R395" s="15"/>
      <c r="S395" s="15"/>
      <c r="T395" s="15"/>
      <c r="U395" s="15"/>
      <c r="V395" s="17"/>
      <c r="W395" s="17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  <c r="AW395" s="15"/>
      <c r="AX395" s="15"/>
      <c r="AY395" s="15"/>
      <c r="AZ395" s="15"/>
      <c r="BA395" s="15"/>
      <c r="BB395" s="15"/>
      <c r="BC395" s="15"/>
      <c r="BD395" s="15"/>
      <c r="BE395" s="15"/>
      <c r="BF395" s="15"/>
      <c r="BG395" s="15"/>
      <c r="BH395" s="15"/>
      <c r="BI395" s="15"/>
    </row>
    <row r="396" spans="1:61" ht="15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7"/>
      <c r="O396" s="17"/>
      <c r="P396" s="15"/>
      <c r="Q396" s="15"/>
      <c r="R396" s="15"/>
      <c r="S396" s="15"/>
      <c r="T396" s="15"/>
      <c r="U396" s="15"/>
      <c r="V396" s="17"/>
      <c r="W396" s="17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  <c r="AT396" s="15"/>
      <c r="AU396" s="15"/>
      <c r="AV396" s="15"/>
      <c r="AW396" s="15"/>
      <c r="AX396" s="15"/>
      <c r="AY396" s="15"/>
      <c r="AZ396" s="15"/>
      <c r="BA396" s="15"/>
      <c r="BB396" s="15"/>
      <c r="BC396" s="15"/>
      <c r="BD396" s="15"/>
      <c r="BE396" s="15"/>
      <c r="BF396" s="15"/>
      <c r="BG396" s="15"/>
      <c r="BH396" s="15"/>
      <c r="BI396" s="15"/>
    </row>
    <row r="397" spans="1:61" ht="15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7"/>
      <c r="O397" s="17"/>
      <c r="P397" s="15"/>
      <c r="Q397" s="15"/>
      <c r="R397" s="15"/>
      <c r="S397" s="15"/>
      <c r="T397" s="15"/>
      <c r="U397" s="15"/>
      <c r="V397" s="17"/>
      <c r="W397" s="17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  <c r="AX397" s="15"/>
      <c r="AY397" s="15"/>
      <c r="AZ397" s="15"/>
      <c r="BA397" s="15"/>
      <c r="BB397" s="15"/>
      <c r="BC397" s="15"/>
      <c r="BD397" s="15"/>
      <c r="BE397" s="15"/>
      <c r="BF397" s="15"/>
      <c r="BG397" s="15"/>
      <c r="BH397" s="15"/>
      <c r="BI397" s="15"/>
    </row>
    <row r="398" spans="1:61" ht="15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7"/>
      <c r="O398" s="17"/>
      <c r="P398" s="15"/>
      <c r="Q398" s="15"/>
      <c r="R398" s="15"/>
      <c r="S398" s="15"/>
      <c r="T398" s="15"/>
      <c r="U398" s="15"/>
      <c r="V398" s="17"/>
      <c r="W398" s="17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15"/>
      <c r="AV398" s="15"/>
      <c r="AW398" s="15"/>
      <c r="AX398" s="15"/>
      <c r="AY398" s="15"/>
      <c r="AZ398" s="15"/>
      <c r="BA398" s="15"/>
      <c r="BB398" s="15"/>
      <c r="BC398" s="15"/>
      <c r="BD398" s="15"/>
      <c r="BE398" s="15"/>
      <c r="BF398" s="15"/>
      <c r="BG398" s="15"/>
      <c r="BH398" s="15"/>
      <c r="BI398" s="15"/>
    </row>
    <row r="399" spans="1:61" ht="15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7"/>
      <c r="O399" s="17"/>
      <c r="P399" s="15"/>
      <c r="Q399" s="15"/>
      <c r="R399" s="15"/>
      <c r="S399" s="15"/>
      <c r="T399" s="15"/>
      <c r="U399" s="15"/>
      <c r="V399" s="17"/>
      <c r="W399" s="17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  <c r="AX399" s="15"/>
      <c r="AY399" s="15"/>
      <c r="AZ399" s="15"/>
      <c r="BA399" s="15"/>
      <c r="BB399" s="15"/>
      <c r="BC399" s="15"/>
      <c r="BD399" s="15"/>
      <c r="BE399" s="15"/>
      <c r="BF399" s="15"/>
      <c r="BG399" s="15"/>
      <c r="BH399" s="15"/>
      <c r="BI399" s="15"/>
    </row>
    <row r="400" spans="1:61" ht="15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7"/>
      <c r="O400" s="17"/>
      <c r="P400" s="15"/>
      <c r="Q400" s="15"/>
      <c r="R400" s="15"/>
      <c r="S400" s="15"/>
      <c r="T400" s="15"/>
      <c r="U400" s="15"/>
      <c r="V400" s="17"/>
      <c r="W400" s="17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  <c r="AS400" s="15"/>
      <c r="AT400" s="15"/>
      <c r="AU400" s="15"/>
      <c r="AV400" s="15"/>
      <c r="AW400" s="15"/>
      <c r="AX400" s="15"/>
      <c r="AY400" s="15"/>
      <c r="AZ400" s="15"/>
      <c r="BA400" s="15"/>
      <c r="BB400" s="15"/>
      <c r="BC400" s="15"/>
      <c r="BD400" s="15"/>
      <c r="BE400" s="15"/>
      <c r="BF400" s="15"/>
      <c r="BG400" s="15"/>
      <c r="BH400" s="15"/>
      <c r="BI400" s="15"/>
    </row>
    <row r="401" spans="1:61" ht="15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7"/>
      <c r="O401" s="17"/>
      <c r="P401" s="15"/>
      <c r="Q401" s="15"/>
      <c r="R401" s="15"/>
      <c r="S401" s="15"/>
      <c r="T401" s="15"/>
      <c r="U401" s="15"/>
      <c r="V401" s="17"/>
      <c r="W401" s="17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  <c r="AV401" s="15"/>
      <c r="AW401" s="15"/>
      <c r="AX401" s="15"/>
      <c r="AY401" s="15"/>
      <c r="AZ401" s="15"/>
      <c r="BA401" s="15"/>
      <c r="BB401" s="15"/>
      <c r="BC401" s="15"/>
      <c r="BD401" s="15"/>
      <c r="BE401" s="15"/>
      <c r="BF401" s="15"/>
      <c r="BG401" s="15"/>
      <c r="BH401" s="15"/>
      <c r="BI401" s="15"/>
    </row>
    <row r="402" spans="1:61" ht="15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7"/>
      <c r="O402" s="17"/>
      <c r="P402" s="15"/>
      <c r="Q402" s="15"/>
      <c r="R402" s="15"/>
      <c r="S402" s="15"/>
      <c r="T402" s="15"/>
      <c r="U402" s="15"/>
      <c r="V402" s="17"/>
      <c r="W402" s="17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  <c r="AR402" s="15"/>
      <c r="AS402" s="15"/>
      <c r="AT402" s="15"/>
      <c r="AU402" s="15"/>
      <c r="AV402" s="15"/>
      <c r="AW402" s="15"/>
      <c r="AX402" s="15"/>
      <c r="AY402" s="15"/>
      <c r="AZ402" s="15"/>
      <c r="BA402" s="15"/>
      <c r="BB402" s="15"/>
      <c r="BC402" s="15"/>
      <c r="BD402" s="15"/>
      <c r="BE402" s="15"/>
      <c r="BF402" s="15"/>
      <c r="BG402" s="15"/>
      <c r="BH402" s="15"/>
      <c r="BI402" s="15"/>
    </row>
    <row r="403" spans="1:61" ht="15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7"/>
      <c r="O403" s="17"/>
      <c r="P403" s="15"/>
      <c r="Q403" s="15"/>
      <c r="R403" s="15"/>
      <c r="S403" s="15"/>
      <c r="T403" s="15"/>
      <c r="U403" s="15"/>
      <c r="V403" s="17"/>
      <c r="W403" s="17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  <c r="AW403" s="15"/>
      <c r="AX403" s="15"/>
      <c r="AY403" s="15"/>
      <c r="AZ403" s="15"/>
      <c r="BA403" s="15"/>
      <c r="BB403" s="15"/>
      <c r="BC403" s="15"/>
      <c r="BD403" s="15"/>
      <c r="BE403" s="15"/>
      <c r="BF403" s="15"/>
      <c r="BG403" s="15"/>
      <c r="BH403" s="15"/>
      <c r="BI403" s="15"/>
    </row>
    <row r="404" spans="1:61" ht="15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7"/>
      <c r="O404" s="17"/>
      <c r="P404" s="15"/>
      <c r="Q404" s="15"/>
      <c r="R404" s="15"/>
      <c r="S404" s="15"/>
      <c r="T404" s="15"/>
      <c r="U404" s="15"/>
      <c r="V404" s="17"/>
      <c r="W404" s="17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  <c r="AS404" s="15"/>
      <c r="AT404" s="15"/>
      <c r="AU404" s="15"/>
      <c r="AV404" s="15"/>
      <c r="AW404" s="15"/>
      <c r="AX404" s="15"/>
      <c r="AY404" s="15"/>
      <c r="AZ404" s="15"/>
      <c r="BA404" s="15"/>
      <c r="BB404" s="15"/>
      <c r="BC404" s="15"/>
      <c r="BD404" s="15"/>
      <c r="BE404" s="15"/>
      <c r="BF404" s="15"/>
      <c r="BG404" s="15"/>
      <c r="BH404" s="15"/>
      <c r="BI404" s="15"/>
    </row>
    <row r="405" spans="1:61" ht="15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7"/>
      <c r="O405" s="17"/>
      <c r="P405" s="15"/>
      <c r="Q405" s="15"/>
      <c r="R405" s="15"/>
      <c r="S405" s="15"/>
      <c r="T405" s="15"/>
      <c r="U405" s="15"/>
      <c r="V405" s="17"/>
      <c r="W405" s="17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  <c r="AW405" s="15"/>
      <c r="AX405" s="15"/>
      <c r="AY405" s="15"/>
      <c r="AZ405" s="15"/>
      <c r="BA405" s="15"/>
      <c r="BB405" s="15"/>
      <c r="BC405" s="15"/>
      <c r="BD405" s="15"/>
      <c r="BE405" s="15"/>
      <c r="BF405" s="15"/>
      <c r="BG405" s="15"/>
      <c r="BH405" s="15"/>
      <c r="BI405" s="15"/>
    </row>
    <row r="406" spans="1:61" ht="15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7"/>
      <c r="O406" s="17"/>
      <c r="P406" s="15"/>
      <c r="Q406" s="15"/>
      <c r="R406" s="15"/>
      <c r="S406" s="15"/>
      <c r="T406" s="15"/>
      <c r="U406" s="15"/>
      <c r="V406" s="17"/>
      <c r="W406" s="17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5"/>
      <c r="AQ406" s="15"/>
      <c r="AR406" s="15"/>
      <c r="AS406" s="15"/>
      <c r="AT406" s="15"/>
      <c r="AU406" s="15"/>
      <c r="AV406" s="15"/>
      <c r="AW406" s="15"/>
      <c r="AX406" s="15"/>
      <c r="AY406" s="15"/>
      <c r="AZ406" s="15"/>
      <c r="BA406" s="15"/>
      <c r="BB406" s="15"/>
      <c r="BC406" s="15"/>
      <c r="BD406" s="15"/>
      <c r="BE406" s="15"/>
      <c r="BF406" s="15"/>
      <c r="BG406" s="15"/>
      <c r="BH406" s="15"/>
      <c r="BI406" s="15"/>
    </row>
    <row r="407" spans="1:61" ht="15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7"/>
      <c r="O407" s="17"/>
      <c r="P407" s="15"/>
      <c r="Q407" s="15"/>
      <c r="R407" s="15"/>
      <c r="S407" s="15"/>
      <c r="T407" s="15"/>
      <c r="U407" s="15"/>
      <c r="V407" s="17"/>
      <c r="W407" s="17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  <c r="AV407" s="15"/>
      <c r="AW407" s="15"/>
      <c r="AX407" s="15"/>
      <c r="AY407" s="15"/>
      <c r="AZ407" s="15"/>
      <c r="BA407" s="15"/>
      <c r="BB407" s="15"/>
      <c r="BC407" s="15"/>
      <c r="BD407" s="15"/>
      <c r="BE407" s="15"/>
      <c r="BF407" s="15"/>
      <c r="BG407" s="15"/>
      <c r="BH407" s="15"/>
      <c r="BI407" s="15"/>
    </row>
    <row r="408" spans="1:61" ht="15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7"/>
      <c r="O408" s="17"/>
      <c r="P408" s="15"/>
      <c r="Q408" s="15"/>
      <c r="R408" s="15"/>
      <c r="S408" s="15"/>
      <c r="T408" s="15"/>
      <c r="U408" s="15"/>
      <c r="V408" s="17"/>
      <c r="W408" s="17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  <c r="AR408" s="15"/>
      <c r="AS408" s="15"/>
      <c r="AT408" s="15"/>
      <c r="AU408" s="15"/>
      <c r="AV408" s="15"/>
      <c r="AW408" s="15"/>
      <c r="AX408" s="15"/>
      <c r="AY408" s="15"/>
      <c r="AZ408" s="15"/>
      <c r="BA408" s="15"/>
      <c r="BB408" s="15"/>
      <c r="BC408" s="15"/>
      <c r="BD408" s="15"/>
      <c r="BE408" s="15"/>
      <c r="BF408" s="15"/>
      <c r="BG408" s="15"/>
      <c r="BH408" s="15"/>
      <c r="BI408" s="15"/>
    </row>
    <row r="409" spans="1:61" ht="15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7"/>
      <c r="O409" s="17"/>
      <c r="P409" s="15"/>
      <c r="Q409" s="15"/>
      <c r="R409" s="15"/>
      <c r="S409" s="15"/>
      <c r="T409" s="15"/>
      <c r="U409" s="15"/>
      <c r="V409" s="17"/>
      <c r="W409" s="17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  <c r="AU409" s="15"/>
      <c r="AV409" s="15"/>
      <c r="AW409" s="15"/>
      <c r="AX409" s="15"/>
      <c r="AY409" s="15"/>
      <c r="AZ409" s="15"/>
      <c r="BA409" s="15"/>
      <c r="BB409" s="15"/>
      <c r="BC409" s="15"/>
      <c r="BD409" s="15"/>
      <c r="BE409" s="15"/>
      <c r="BF409" s="15"/>
      <c r="BG409" s="15"/>
      <c r="BH409" s="15"/>
      <c r="BI409" s="15"/>
    </row>
    <row r="410" spans="1:61" ht="15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7"/>
      <c r="O410" s="17"/>
      <c r="P410" s="15"/>
      <c r="Q410" s="15"/>
      <c r="R410" s="15"/>
      <c r="S410" s="15"/>
      <c r="T410" s="15"/>
      <c r="U410" s="15"/>
      <c r="V410" s="17"/>
      <c r="W410" s="17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  <c r="AP410" s="15"/>
      <c r="AQ410" s="15"/>
      <c r="AR410" s="15"/>
      <c r="AS410" s="15"/>
      <c r="AT410" s="15"/>
      <c r="AU410" s="15"/>
      <c r="AV410" s="15"/>
      <c r="AW410" s="15"/>
      <c r="AX410" s="15"/>
      <c r="AY410" s="15"/>
      <c r="AZ410" s="15"/>
      <c r="BA410" s="15"/>
      <c r="BB410" s="15"/>
      <c r="BC410" s="15"/>
      <c r="BD410" s="15"/>
      <c r="BE410" s="15"/>
      <c r="BF410" s="15"/>
      <c r="BG410" s="15"/>
      <c r="BH410" s="15"/>
      <c r="BI410" s="15"/>
    </row>
    <row r="411" spans="1:61" ht="15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7"/>
      <c r="O411" s="17"/>
      <c r="P411" s="15"/>
      <c r="Q411" s="15"/>
      <c r="R411" s="15"/>
      <c r="S411" s="15"/>
      <c r="T411" s="15"/>
      <c r="U411" s="15"/>
      <c r="V411" s="17"/>
      <c r="W411" s="17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  <c r="AV411" s="15"/>
      <c r="AW411" s="15"/>
      <c r="AX411" s="15"/>
      <c r="AY411" s="15"/>
      <c r="AZ411" s="15"/>
      <c r="BA411" s="15"/>
      <c r="BB411" s="15"/>
      <c r="BC411" s="15"/>
      <c r="BD411" s="15"/>
      <c r="BE411" s="15"/>
      <c r="BF411" s="15"/>
      <c r="BG411" s="15"/>
      <c r="BH411" s="15"/>
      <c r="BI411" s="15"/>
    </row>
    <row r="412" spans="1:61" ht="15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7"/>
      <c r="O412" s="17"/>
      <c r="P412" s="15"/>
      <c r="Q412" s="15"/>
      <c r="R412" s="15"/>
      <c r="S412" s="15"/>
      <c r="T412" s="15"/>
      <c r="U412" s="15"/>
      <c r="V412" s="17"/>
      <c r="W412" s="17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  <c r="AP412" s="15"/>
      <c r="AQ412" s="15"/>
      <c r="AR412" s="15"/>
      <c r="AS412" s="15"/>
      <c r="AT412" s="15"/>
      <c r="AU412" s="15"/>
      <c r="AV412" s="15"/>
      <c r="AW412" s="15"/>
      <c r="AX412" s="15"/>
      <c r="AY412" s="15"/>
      <c r="AZ412" s="15"/>
      <c r="BA412" s="15"/>
      <c r="BB412" s="15"/>
      <c r="BC412" s="15"/>
      <c r="BD412" s="15"/>
      <c r="BE412" s="15"/>
      <c r="BF412" s="15"/>
      <c r="BG412" s="15"/>
      <c r="BH412" s="15"/>
      <c r="BI412" s="15"/>
    </row>
    <row r="413" spans="1:61" ht="15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7"/>
      <c r="O413" s="17"/>
      <c r="P413" s="15"/>
      <c r="Q413" s="15"/>
      <c r="R413" s="15"/>
      <c r="S413" s="15"/>
      <c r="T413" s="15"/>
      <c r="U413" s="15"/>
      <c r="V413" s="17"/>
      <c r="W413" s="17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  <c r="AS413" s="15"/>
      <c r="AT413" s="15"/>
      <c r="AU413" s="15"/>
      <c r="AV413" s="15"/>
      <c r="AW413" s="15"/>
      <c r="AX413" s="15"/>
      <c r="AY413" s="15"/>
      <c r="AZ413" s="15"/>
      <c r="BA413" s="15"/>
      <c r="BB413" s="15"/>
      <c r="BC413" s="15"/>
      <c r="BD413" s="15"/>
      <c r="BE413" s="15"/>
      <c r="BF413" s="15"/>
      <c r="BG413" s="15"/>
      <c r="BH413" s="15"/>
      <c r="BI413" s="15"/>
    </row>
    <row r="414" spans="1:61" ht="15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7"/>
      <c r="O414" s="17"/>
      <c r="P414" s="15"/>
      <c r="Q414" s="15"/>
      <c r="R414" s="15"/>
      <c r="S414" s="15"/>
      <c r="T414" s="15"/>
      <c r="U414" s="15"/>
      <c r="V414" s="17"/>
      <c r="W414" s="17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  <c r="AP414" s="15"/>
      <c r="AQ414" s="15"/>
      <c r="AR414" s="15"/>
      <c r="AS414" s="15"/>
      <c r="AT414" s="15"/>
      <c r="AU414" s="15"/>
      <c r="AV414" s="15"/>
      <c r="AW414" s="15"/>
      <c r="AX414" s="15"/>
      <c r="AY414" s="15"/>
      <c r="AZ414" s="15"/>
      <c r="BA414" s="15"/>
      <c r="BB414" s="15"/>
      <c r="BC414" s="15"/>
      <c r="BD414" s="15"/>
      <c r="BE414" s="15"/>
      <c r="BF414" s="15"/>
      <c r="BG414" s="15"/>
      <c r="BH414" s="15"/>
      <c r="BI414" s="15"/>
    </row>
    <row r="415" spans="1:61" ht="15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7"/>
      <c r="O415" s="17"/>
      <c r="P415" s="15"/>
      <c r="Q415" s="15"/>
      <c r="R415" s="15"/>
      <c r="S415" s="15"/>
      <c r="T415" s="15"/>
      <c r="U415" s="15"/>
      <c r="V415" s="17"/>
      <c r="W415" s="17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  <c r="AS415" s="15"/>
      <c r="AT415" s="15"/>
      <c r="AU415" s="15"/>
      <c r="AV415" s="15"/>
      <c r="AW415" s="15"/>
      <c r="AX415" s="15"/>
      <c r="AY415" s="15"/>
      <c r="AZ415" s="15"/>
      <c r="BA415" s="15"/>
      <c r="BB415" s="15"/>
      <c r="BC415" s="15"/>
      <c r="BD415" s="15"/>
      <c r="BE415" s="15"/>
      <c r="BF415" s="15"/>
      <c r="BG415" s="15"/>
      <c r="BH415" s="15"/>
      <c r="BI415" s="15"/>
    </row>
    <row r="416" spans="1:61" ht="15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7"/>
      <c r="O416" s="17"/>
      <c r="P416" s="15"/>
      <c r="Q416" s="15"/>
      <c r="R416" s="15"/>
      <c r="S416" s="15"/>
      <c r="T416" s="15"/>
      <c r="U416" s="15"/>
      <c r="V416" s="17"/>
      <c r="W416" s="17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  <c r="AS416" s="15"/>
      <c r="AT416" s="15"/>
      <c r="AU416" s="15"/>
      <c r="AV416" s="15"/>
      <c r="AW416" s="15"/>
      <c r="AX416" s="15"/>
      <c r="AY416" s="15"/>
      <c r="AZ416" s="15"/>
      <c r="BA416" s="15"/>
      <c r="BB416" s="15"/>
      <c r="BC416" s="15"/>
      <c r="BD416" s="15"/>
      <c r="BE416" s="15"/>
      <c r="BF416" s="15"/>
      <c r="BG416" s="15"/>
      <c r="BH416" s="15"/>
      <c r="BI416" s="15"/>
    </row>
    <row r="417" spans="1:61" ht="15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7"/>
      <c r="O417" s="17"/>
      <c r="P417" s="15"/>
      <c r="Q417" s="15"/>
      <c r="R417" s="15"/>
      <c r="S417" s="15"/>
      <c r="T417" s="15"/>
      <c r="U417" s="15"/>
      <c r="V417" s="17"/>
      <c r="W417" s="17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/>
      <c r="AT417" s="15"/>
      <c r="AU417" s="15"/>
      <c r="AV417" s="15"/>
      <c r="AW417" s="15"/>
      <c r="AX417" s="15"/>
      <c r="AY417" s="15"/>
      <c r="AZ417" s="15"/>
      <c r="BA417" s="15"/>
      <c r="BB417" s="15"/>
      <c r="BC417" s="15"/>
      <c r="BD417" s="15"/>
      <c r="BE417" s="15"/>
      <c r="BF417" s="15"/>
      <c r="BG417" s="15"/>
      <c r="BH417" s="15"/>
      <c r="BI417" s="15"/>
    </row>
    <row r="418" spans="1:61" ht="15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7"/>
      <c r="O418" s="17"/>
      <c r="P418" s="15"/>
      <c r="Q418" s="15"/>
      <c r="R418" s="15"/>
      <c r="S418" s="15"/>
      <c r="T418" s="15"/>
      <c r="U418" s="15"/>
      <c r="V418" s="17"/>
      <c r="W418" s="17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5"/>
      <c r="AQ418" s="15"/>
      <c r="AR418" s="15"/>
      <c r="AS418" s="15"/>
      <c r="AT418" s="15"/>
      <c r="AU418" s="15"/>
      <c r="AV418" s="15"/>
      <c r="AW418" s="15"/>
      <c r="AX418" s="15"/>
      <c r="AY418" s="15"/>
      <c r="AZ418" s="15"/>
      <c r="BA418" s="15"/>
      <c r="BB418" s="15"/>
      <c r="BC418" s="15"/>
      <c r="BD418" s="15"/>
      <c r="BE418" s="15"/>
      <c r="BF418" s="15"/>
      <c r="BG418" s="15"/>
      <c r="BH418" s="15"/>
      <c r="BI418" s="15"/>
    </row>
    <row r="419" spans="1:61" ht="15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7"/>
      <c r="O419" s="17"/>
      <c r="P419" s="15"/>
      <c r="Q419" s="15"/>
      <c r="R419" s="15"/>
      <c r="S419" s="15"/>
      <c r="T419" s="15"/>
      <c r="U419" s="15"/>
      <c r="V419" s="17"/>
      <c r="W419" s="17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  <c r="AT419" s="15"/>
      <c r="AU419" s="15"/>
      <c r="AV419" s="15"/>
      <c r="AW419" s="15"/>
      <c r="AX419" s="15"/>
      <c r="AY419" s="15"/>
      <c r="AZ419" s="15"/>
      <c r="BA419" s="15"/>
      <c r="BB419" s="15"/>
      <c r="BC419" s="15"/>
      <c r="BD419" s="15"/>
      <c r="BE419" s="15"/>
      <c r="BF419" s="15"/>
      <c r="BG419" s="15"/>
      <c r="BH419" s="15"/>
      <c r="BI419" s="15"/>
    </row>
    <row r="420" spans="1:61" ht="15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7"/>
      <c r="O420" s="17"/>
      <c r="P420" s="15"/>
      <c r="Q420" s="15"/>
      <c r="R420" s="15"/>
      <c r="S420" s="15"/>
      <c r="T420" s="15"/>
      <c r="U420" s="15"/>
      <c r="V420" s="17"/>
      <c r="W420" s="17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5"/>
      <c r="AQ420" s="15"/>
      <c r="AR420" s="15"/>
      <c r="AS420" s="15"/>
      <c r="AT420" s="15"/>
      <c r="AU420" s="15"/>
      <c r="AV420" s="15"/>
      <c r="AW420" s="15"/>
      <c r="AX420" s="15"/>
      <c r="AY420" s="15"/>
      <c r="AZ420" s="15"/>
      <c r="BA420" s="15"/>
      <c r="BB420" s="15"/>
      <c r="BC420" s="15"/>
      <c r="BD420" s="15"/>
      <c r="BE420" s="15"/>
      <c r="BF420" s="15"/>
      <c r="BG420" s="15"/>
      <c r="BH420" s="15"/>
      <c r="BI420" s="15"/>
    </row>
    <row r="421" spans="1:61" ht="15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7"/>
      <c r="O421" s="17"/>
      <c r="P421" s="15"/>
      <c r="Q421" s="15"/>
      <c r="R421" s="15"/>
      <c r="S421" s="15"/>
      <c r="T421" s="15"/>
      <c r="U421" s="15"/>
      <c r="V421" s="17"/>
      <c r="W421" s="17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/>
      <c r="AS421" s="15"/>
      <c r="AT421" s="15"/>
      <c r="AU421" s="15"/>
      <c r="AV421" s="15"/>
      <c r="AW421" s="15"/>
      <c r="AX421" s="15"/>
      <c r="AY421" s="15"/>
      <c r="AZ421" s="15"/>
      <c r="BA421" s="15"/>
      <c r="BB421" s="15"/>
      <c r="BC421" s="15"/>
      <c r="BD421" s="15"/>
      <c r="BE421" s="15"/>
      <c r="BF421" s="15"/>
      <c r="BG421" s="15"/>
      <c r="BH421" s="15"/>
      <c r="BI421" s="15"/>
    </row>
    <row r="422" spans="1:61" ht="15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7"/>
      <c r="O422" s="17"/>
      <c r="P422" s="15"/>
      <c r="Q422" s="15"/>
      <c r="R422" s="15"/>
      <c r="S422" s="15"/>
      <c r="T422" s="15"/>
      <c r="U422" s="15"/>
      <c r="V422" s="17"/>
      <c r="W422" s="17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  <c r="AP422" s="15"/>
      <c r="AQ422" s="15"/>
      <c r="AR422" s="15"/>
      <c r="AS422" s="15"/>
      <c r="AT422" s="15"/>
      <c r="AU422" s="15"/>
      <c r="AV422" s="15"/>
      <c r="AW422" s="15"/>
      <c r="AX422" s="15"/>
      <c r="AY422" s="15"/>
      <c r="AZ422" s="15"/>
      <c r="BA422" s="15"/>
      <c r="BB422" s="15"/>
      <c r="BC422" s="15"/>
      <c r="BD422" s="15"/>
      <c r="BE422" s="15"/>
      <c r="BF422" s="15"/>
      <c r="BG422" s="15"/>
      <c r="BH422" s="15"/>
      <c r="BI422" s="15"/>
    </row>
    <row r="423" spans="1:61" ht="15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7"/>
      <c r="O423" s="17"/>
      <c r="P423" s="15"/>
      <c r="Q423" s="15"/>
      <c r="R423" s="15"/>
      <c r="S423" s="15"/>
      <c r="T423" s="15"/>
      <c r="U423" s="15"/>
      <c r="V423" s="17"/>
      <c r="W423" s="17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  <c r="AS423" s="15"/>
      <c r="AT423" s="15"/>
      <c r="AU423" s="15"/>
      <c r="AV423" s="15"/>
      <c r="AW423" s="15"/>
      <c r="AX423" s="15"/>
      <c r="AY423" s="15"/>
      <c r="AZ423" s="15"/>
      <c r="BA423" s="15"/>
      <c r="BB423" s="15"/>
      <c r="BC423" s="15"/>
      <c r="BD423" s="15"/>
      <c r="BE423" s="15"/>
      <c r="BF423" s="15"/>
      <c r="BG423" s="15"/>
      <c r="BH423" s="15"/>
      <c r="BI423" s="15"/>
    </row>
    <row r="424" spans="1:61" ht="15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7"/>
      <c r="O424" s="17"/>
      <c r="P424" s="15"/>
      <c r="Q424" s="15"/>
      <c r="R424" s="15"/>
      <c r="S424" s="15"/>
      <c r="T424" s="15"/>
      <c r="U424" s="15"/>
      <c r="V424" s="17"/>
      <c r="W424" s="17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  <c r="AP424" s="15"/>
      <c r="AQ424" s="15"/>
      <c r="AR424" s="15"/>
      <c r="AS424" s="15"/>
      <c r="AT424" s="15"/>
      <c r="AU424" s="15"/>
      <c r="AV424" s="15"/>
      <c r="AW424" s="15"/>
      <c r="AX424" s="15"/>
      <c r="AY424" s="15"/>
      <c r="AZ424" s="15"/>
      <c r="BA424" s="15"/>
      <c r="BB424" s="15"/>
      <c r="BC424" s="15"/>
      <c r="BD424" s="15"/>
      <c r="BE424" s="15"/>
      <c r="BF424" s="15"/>
      <c r="BG424" s="15"/>
      <c r="BH424" s="15"/>
      <c r="BI424" s="15"/>
    </row>
    <row r="425" spans="1:61" ht="15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7"/>
      <c r="O425" s="17"/>
      <c r="P425" s="15"/>
      <c r="Q425" s="15"/>
      <c r="R425" s="15"/>
      <c r="S425" s="15"/>
      <c r="T425" s="15"/>
      <c r="U425" s="15"/>
      <c r="V425" s="17"/>
      <c r="W425" s="17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  <c r="AQ425" s="15"/>
      <c r="AR425" s="15"/>
      <c r="AS425" s="15"/>
      <c r="AT425" s="15"/>
      <c r="AU425" s="15"/>
      <c r="AV425" s="15"/>
      <c r="AW425" s="15"/>
      <c r="AX425" s="15"/>
      <c r="AY425" s="15"/>
      <c r="AZ425" s="15"/>
      <c r="BA425" s="15"/>
      <c r="BB425" s="15"/>
      <c r="BC425" s="15"/>
      <c r="BD425" s="15"/>
      <c r="BE425" s="15"/>
      <c r="BF425" s="15"/>
      <c r="BG425" s="15"/>
      <c r="BH425" s="15"/>
      <c r="BI425" s="15"/>
    </row>
    <row r="426" spans="1:61" ht="15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7"/>
      <c r="O426" s="17"/>
      <c r="P426" s="15"/>
      <c r="Q426" s="15"/>
      <c r="R426" s="15"/>
      <c r="S426" s="15"/>
      <c r="T426" s="15"/>
      <c r="U426" s="15"/>
      <c r="V426" s="17"/>
      <c r="W426" s="17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15"/>
      <c r="AQ426" s="15"/>
      <c r="AR426" s="15"/>
      <c r="AS426" s="15"/>
      <c r="AT426" s="15"/>
      <c r="AU426" s="15"/>
      <c r="AV426" s="15"/>
      <c r="AW426" s="15"/>
      <c r="AX426" s="15"/>
      <c r="AY426" s="15"/>
      <c r="AZ426" s="15"/>
      <c r="BA426" s="15"/>
      <c r="BB426" s="15"/>
      <c r="BC426" s="15"/>
      <c r="BD426" s="15"/>
      <c r="BE426" s="15"/>
      <c r="BF426" s="15"/>
      <c r="BG426" s="15"/>
      <c r="BH426" s="15"/>
      <c r="BI426" s="15"/>
    </row>
    <row r="427" spans="1:61" ht="15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7"/>
      <c r="O427" s="17"/>
      <c r="P427" s="15"/>
      <c r="Q427" s="15"/>
      <c r="R427" s="15"/>
      <c r="S427" s="15"/>
      <c r="T427" s="15"/>
      <c r="U427" s="15"/>
      <c r="V427" s="17"/>
      <c r="W427" s="17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  <c r="AT427" s="15"/>
      <c r="AU427" s="15"/>
      <c r="AV427" s="15"/>
      <c r="AW427" s="15"/>
      <c r="AX427" s="15"/>
      <c r="AY427" s="15"/>
      <c r="AZ427" s="15"/>
      <c r="BA427" s="15"/>
      <c r="BB427" s="15"/>
      <c r="BC427" s="15"/>
      <c r="BD427" s="15"/>
      <c r="BE427" s="15"/>
      <c r="BF427" s="15"/>
      <c r="BG427" s="15"/>
      <c r="BH427" s="15"/>
      <c r="BI427" s="15"/>
    </row>
    <row r="428" spans="1:61" ht="15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7"/>
      <c r="O428" s="17"/>
      <c r="P428" s="15"/>
      <c r="Q428" s="15"/>
      <c r="R428" s="15"/>
      <c r="S428" s="15"/>
      <c r="T428" s="15"/>
      <c r="U428" s="15"/>
      <c r="V428" s="17"/>
      <c r="W428" s="17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  <c r="AP428" s="15"/>
      <c r="AQ428" s="15"/>
      <c r="AR428" s="15"/>
      <c r="AS428" s="15"/>
      <c r="AT428" s="15"/>
      <c r="AU428" s="15"/>
      <c r="AV428" s="15"/>
      <c r="AW428" s="15"/>
      <c r="AX428" s="15"/>
      <c r="AY428" s="15"/>
      <c r="AZ428" s="15"/>
      <c r="BA428" s="15"/>
      <c r="BB428" s="15"/>
      <c r="BC428" s="15"/>
      <c r="BD428" s="15"/>
      <c r="BE428" s="15"/>
      <c r="BF428" s="15"/>
      <c r="BG428" s="15"/>
      <c r="BH428" s="15"/>
      <c r="BI428" s="15"/>
    </row>
    <row r="429" spans="1:61" ht="15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7"/>
      <c r="O429" s="17"/>
      <c r="P429" s="15"/>
      <c r="Q429" s="15"/>
      <c r="R429" s="15"/>
      <c r="S429" s="15"/>
      <c r="T429" s="15"/>
      <c r="U429" s="15"/>
      <c r="V429" s="17"/>
      <c r="W429" s="17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  <c r="AQ429" s="15"/>
      <c r="AR429" s="15"/>
      <c r="AS429" s="15"/>
      <c r="AT429" s="15"/>
      <c r="AU429" s="15"/>
      <c r="AV429" s="15"/>
      <c r="AW429" s="15"/>
      <c r="AX429" s="15"/>
      <c r="AY429" s="15"/>
      <c r="AZ429" s="15"/>
      <c r="BA429" s="15"/>
      <c r="BB429" s="15"/>
      <c r="BC429" s="15"/>
      <c r="BD429" s="15"/>
      <c r="BE429" s="15"/>
      <c r="BF429" s="15"/>
      <c r="BG429" s="15"/>
      <c r="BH429" s="15"/>
      <c r="BI429" s="15"/>
    </row>
    <row r="430" spans="1:61" ht="15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7"/>
      <c r="O430" s="17"/>
      <c r="P430" s="15"/>
      <c r="Q430" s="15"/>
      <c r="R430" s="15"/>
      <c r="S430" s="15"/>
      <c r="T430" s="15"/>
      <c r="U430" s="15"/>
      <c r="V430" s="17"/>
      <c r="W430" s="17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  <c r="AP430" s="15"/>
      <c r="AQ430" s="15"/>
      <c r="AR430" s="15"/>
      <c r="AS430" s="15"/>
      <c r="AT430" s="15"/>
      <c r="AU430" s="15"/>
      <c r="AV430" s="15"/>
      <c r="AW430" s="15"/>
      <c r="AX430" s="15"/>
      <c r="AY430" s="15"/>
      <c r="AZ430" s="15"/>
      <c r="BA430" s="15"/>
      <c r="BB430" s="15"/>
      <c r="BC430" s="15"/>
      <c r="BD430" s="15"/>
      <c r="BE430" s="15"/>
      <c r="BF430" s="15"/>
      <c r="BG430" s="15"/>
      <c r="BH430" s="15"/>
      <c r="BI430" s="15"/>
    </row>
    <row r="431" spans="1:61" ht="15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7"/>
      <c r="O431" s="17"/>
      <c r="P431" s="15"/>
      <c r="Q431" s="15"/>
      <c r="R431" s="15"/>
      <c r="S431" s="15"/>
      <c r="T431" s="15"/>
      <c r="U431" s="15"/>
      <c r="V431" s="17"/>
      <c r="W431" s="17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  <c r="AP431" s="15"/>
      <c r="AQ431" s="15"/>
      <c r="AR431" s="15"/>
      <c r="AS431" s="15"/>
      <c r="AT431" s="15"/>
      <c r="AU431" s="15"/>
      <c r="AV431" s="15"/>
      <c r="AW431" s="15"/>
      <c r="AX431" s="15"/>
      <c r="AY431" s="15"/>
      <c r="AZ431" s="15"/>
      <c r="BA431" s="15"/>
      <c r="BB431" s="15"/>
      <c r="BC431" s="15"/>
      <c r="BD431" s="15"/>
      <c r="BE431" s="15"/>
      <c r="BF431" s="15"/>
      <c r="BG431" s="15"/>
      <c r="BH431" s="15"/>
      <c r="BI431" s="15"/>
    </row>
    <row r="432" spans="1:61" ht="15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7"/>
      <c r="O432" s="17"/>
      <c r="P432" s="15"/>
      <c r="Q432" s="15"/>
      <c r="R432" s="15"/>
      <c r="S432" s="15"/>
      <c r="T432" s="15"/>
      <c r="U432" s="15"/>
      <c r="V432" s="17"/>
      <c r="W432" s="17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  <c r="AP432" s="15"/>
      <c r="AQ432" s="15"/>
      <c r="AR432" s="15"/>
      <c r="AS432" s="15"/>
      <c r="AT432" s="15"/>
      <c r="AU432" s="15"/>
      <c r="AV432" s="15"/>
      <c r="AW432" s="15"/>
      <c r="AX432" s="15"/>
      <c r="AY432" s="15"/>
      <c r="AZ432" s="15"/>
      <c r="BA432" s="15"/>
      <c r="BB432" s="15"/>
      <c r="BC432" s="15"/>
      <c r="BD432" s="15"/>
      <c r="BE432" s="15"/>
      <c r="BF432" s="15"/>
      <c r="BG432" s="15"/>
      <c r="BH432" s="15"/>
      <c r="BI432" s="15"/>
    </row>
    <row r="433" spans="1:61" ht="15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7"/>
      <c r="O433" s="17"/>
      <c r="P433" s="15"/>
      <c r="Q433" s="15"/>
      <c r="R433" s="15"/>
      <c r="S433" s="15"/>
      <c r="T433" s="15"/>
      <c r="U433" s="15"/>
      <c r="V433" s="17"/>
      <c r="W433" s="17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  <c r="AQ433" s="15"/>
      <c r="AR433" s="15"/>
      <c r="AS433" s="15"/>
      <c r="AT433" s="15"/>
      <c r="AU433" s="15"/>
      <c r="AV433" s="15"/>
      <c r="AW433" s="15"/>
      <c r="AX433" s="15"/>
      <c r="AY433" s="15"/>
      <c r="AZ433" s="15"/>
      <c r="BA433" s="15"/>
      <c r="BB433" s="15"/>
      <c r="BC433" s="15"/>
      <c r="BD433" s="15"/>
      <c r="BE433" s="15"/>
      <c r="BF433" s="15"/>
      <c r="BG433" s="15"/>
      <c r="BH433" s="15"/>
      <c r="BI433" s="15"/>
    </row>
    <row r="434" spans="1:61" ht="15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7"/>
      <c r="O434" s="17"/>
      <c r="P434" s="15"/>
      <c r="Q434" s="15"/>
      <c r="R434" s="15"/>
      <c r="S434" s="15"/>
      <c r="T434" s="15"/>
      <c r="U434" s="15"/>
      <c r="V434" s="17"/>
      <c r="W434" s="17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  <c r="AP434" s="15"/>
      <c r="AQ434" s="15"/>
      <c r="AR434" s="15"/>
      <c r="AS434" s="15"/>
      <c r="AT434" s="15"/>
      <c r="AU434" s="15"/>
      <c r="AV434" s="15"/>
      <c r="AW434" s="15"/>
      <c r="AX434" s="15"/>
      <c r="AY434" s="15"/>
      <c r="AZ434" s="15"/>
      <c r="BA434" s="15"/>
      <c r="BB434" s="15"/>
      <c r="BC434" s="15"/>
      <c r="BD434" s="15"/>
      <c r="BE434" s="15"/>
      <c r="BF434" s="15"/>
      <c r="BG434" s="15"/>
      <c r="BH434" s="15"/>
      <c r="BI434" s="15"/>
    </row>
    <row r="435" spans="1:61" ht="15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7"/>
      <c r="O435" s="17"/>
      <c r="P435" s="15"/>
      <c r="Q435" s="15"/>
      <c r="R435" s="15"/>
      <c r="S435" s="15"/>
      <c r="T435" s="15"/>
      <c r="U435" s="15"/>
      <c r="V435" s="17"/>
      <c r="W435" s="17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  <c r="AS435" s="15"/>
      <c r="AT435" s="15"/>
      <c r="AU435" s="15"/>
      <c r="AV435" s="15"/>
      <c r="AW435" s="15"/>
      <c r="AX435" s="15"/>
      <c r="AY435" s="15"/>
      <c r="AZ435" s="15"/>
      <c r="BA435" s="15"/>
      <c r="BB435" s="15"/>
      <c r="BC435" s="15"/>
      <c r="BD435" s="15"/>
      <c r="BE435" s="15"/>
      <c r="BF435" s="15"/>
      <c r="BG435" s="15"/>
      <c r="BH435" s="15"/>
      <c r="BI435" s="15"/>
    </row>
    <row r="436" spans="1:61" ht="15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7"/>
      <c r="O436" s="17"/>
      <c r="P436" s="15"/>
      <c r="Q436" s="15"/>
      <c r="R436" s="15"/>
      <c r="S436" s="15"/>
      <c r="T436" s="15"/>
      <c r="U436" s="15"/>
      <c r="V436" s="17"/>
      <c r="W436" s="17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  <c r="AP436" s="15"/>
      <c r="AQ436" s="15"/>
      <c r="AR436" s="15"/>
      <c r="AS436" s="15"/>
      <c r="AT436" s="15"/>
      <c r="AU436" s="15"/>
      <c r="AV436" s="15"/>
      <c r="AW436" s="15"/>
      <c r="AX436" s="15"/>
      <c r="AY436" s="15"/>
      <c r="AZ436" s="15"/>
      <c r="BA436" s="15"/>
      <c r="BB436" s="15"/>
      <c r="BC436" s="15"/>
      <c r="BD436" s="15"/>
      <c r="BE436" s="15"/>
      <c r="BF436" s="15"/>
      <c r="BG436" s="15"/>
      <c r="BH436" s="15"/>
      <c r="BI436" s="15"/>
    </row>
    <row r="437" spans="1:61" ht="15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7"/>
      <c r="O437" s="17"/>
      <c r="P437" s="15"/>
      <c r="Q437" s="15"/>
      <c r="R437" s="15"/>
      <c r="S437" s="15"/>
      <c r="T437" s="15"/>
      <c r="U437" s="15"/>
      <c r="V437" s="17"/>
      <c r="W437" s="17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  <c r="AP437" s="15"/>
      <c r="AQ437" s="15"/>
      <c r="AR437" s="15"/>
      <c r="AS437" s="15"/>
      <c r="AT437" s="15"/>
      <c r="AU437" s="15"/>
      <c r="AV437" s="15"/>
      <c r="AW437" s="15"/>
      <c r="AX437" s="15"/>
      <c r="AY437" s="15"/>
      <c r="AZ437" s="15"/>
      <c r="BA437" s="15"/>
      <c r="BB437" s="15"/>
      <c r="BC437" s="15"/>
      <c r="BD437" s="15"/>
      <c r="BE437" s="15"/>
      <c r="BF437" s="15"/>
      <c r="BG437" s="15"/>
      <c r="BH437" s="15"/>
      <c r="BI437" s="15"/>
    </row>
    <row r="438" spans="1:61" ht="15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7"/>
      <c r="O438" s="17"/>
      <c r="P438" s="15"/>
      <c r="Q438" s="15"/>
      <c r="R438" s="15"/>
      <c r="S438" s="15"/>
      <c r="T438" s="15"/>
      <c r="U438" s="15"/>
      <c r="V438" s="17"/>
      <c r="W438" s="17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  <c r="AO438" s="15"/>
      <c r="AP438" s="15"/>
      <c r="AQ438" s="15"/>
      <c r="AR438" s="15"/>
      <c r="AS438" s="15"/>
      <c r="AT438" s="15"/>
      <c r="AU438" s="15"/>
      <c r="AV438" s="15"/>
      <c r="AW438" s="15"/>
      <c r="AX438" s="15"/>
      <c r="AY438" s="15"/>
      <c r="AZ438" s="15"/>
      <c r="BA438" s="15"/>
      <c r="BB438" s="15"/>
      <c r="BC438" s="15"/>
      <c r="BD438" s="15"/>
      <c r="BE438" s="15"/>
      <c r="BF438" s="15"/>
      <c r="BG438" s="15"/>
      <c r="BH438" s="15"/>
      <c r="BI438" s="15"/>
    </row>
    <row r="439" spans="1:61" ht="15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7"/>
      <c r="O439" s="17"/>
      <c r="P439" s="15"/>
      <c r="Q439" s="15"/>
      <c r="R439" s="15"/>
      <c r="S439" s="15"/>
      <c r="T439" s="15"/>
      <c r="U439" s="15"/>
      <c r="V439" s="17"/>
      <c r="W439" s="17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  <c r="AP439" s="15"/>
      <c r="AQ439" s="15"/>
      <c r="AR439" s="15"/>
      <c r="AS439" s="15"/>
      <c r="AT439" s="15"/>
      <c r="AU439" s="15"/>
      <c r="AV439" s="15"/>
      <c r="AW439" s="15"/>
      <c r="AX439" s="15"/>
      <c r="AY439" s="15"/>
      <c r="AZ439" s="15"/>
      <c r="BA439" s="15"/>
      <c r="BB439" s="15"/>
      <c r="BC439" s="15"/>
      <c r="BD439" s="15"/>
      <c r="BE439" s="15"/>
      <c r="BF439" s="15"/>
      <c r="BG439" s="15"/>
      <c r="BH439" s="15"/>
      <c r="BI439" s="15"/>
    </row>
    <row r="440" spans="1:61" ht="15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7"/>
      <c r="O440" s="17"/>
      <c r="P440" s="15"/>
      <c r="Q440" s="15"/>
      <c r="R440" s="15"/>
      <c r="S440" s="15"/>
      <c r="T440" s="15"/>
      <c r="U440" s="15"/>
      <c r="V440" s="17"/>
      <c r="W440" s="17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P440" s="15"/>
      <c r="AQ440" s="15"/>
      <c r="AR440" s="15"/>
      <c r="AS440" s="15"/>
      <c r="AT440" s="15"/>
      <c r="AU440" s="15"/>
      <c r="AV440" s="15"/>
      <c r="AW440" s="15"/>
      <c r="AX440" s="15"/>
      <c r="AY440" s="15"/>
      <c r="AZ440" s="15"/>
      <c r="BA440" s="15"/>
      <c r="BB440" s="15"/>
      <c r="BC440" s="15"/>
      <c r="BD440" s="15"/>
      <c r="BE440" s="15"/>
      <c r="BF440" s="15"/>
      <c r="BG440" s="15"/>
      <c r="BH440" s="15"/>
      <c r="BI440" s="15"/>
    </row>
    <row r="441" spans="1:61" ht="15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7"/>
      <c r="O441" s="17"/>
      <c r="P441" s="15"/>
      <c r="Q441" s="15"/>
      <c r="R441" s="15"/>
      <c r="S441" s="15"/>
      <c r="T441" s="15"/>
      <c r="U441" s="15"/>
      <c r="V441" s="17"/>
      <c r="W441" s="17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/>
      <c r="AQ441" s="15"/>
      <c r="AR441" s="15"/>
      <c r="AS441" s="15"/>
      <c r="AT441" s="15"/>
      <c r="AU441" s="15"/>
      <c r="AV441" s="15"/>
      <c r="AW441" s="15"/>
      <c r="AX441" s="15"/>
      <c r="AY441" s="15"/>
      <c r="AZ441" s="15"/>
      <c r="BA441" s="15"/>
      <c r="BB441" s="15"/>
      <c r="BC441" s="15"/>
      <c r="BD441" s="15"/>
      <c r="BE441" s="15"/>
      <c r="BF441" s="15"/>
      <c r="BG441" s="15"/>
      <c r="BH441" s="15"/>
      <c r="BI441" s="15"/>
    </row>
    <row r="442" spans="1:61" ht="15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7"/>
      <c r="O442" s="17"/>
      <c r="P442" s="15"/>
      <c r="Q442" s="15"/>
      <c r="R442" s="15"/>
      <c r="S442" s="15"/>
      <c r="T442" s="15"/>
      <c r="U442" s="15"/>
      <c r="V442" s="17"/>
      <c r="W442" s="17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  <c r="AP442" s="15"/>
      <c r="AQ442" s="15"/>
      <c r="AR442" s="15"/>
      <c r="AS442" s="15"/>
      <c r="AT442" s="15"/>
      <c r="AU442" s="15"/>
      <c r="AV442" s="15"/>
      <c r="AW442" s="15"/>
      <c r="AX442" s="15"/>
      <c r="AY442" s="15"/>
      <c r="AZ442" s="15"/>
      <c r="BA442" s="15"/>
      <c r="BB442" s="15"/>
      <c r="BC442" s="15"/>
      <c r="BD442" s="15"/>
      <c r="BE442" s="15"/>
      <c r="BF442" s="15"/>
      <c r="BG442" s="15"/>
      <c r="BH442" s="15"/>
      <c r="BI442" s="15"/>
    </row>
    <row r="443" spans="1:61" ht="15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7"/>
      <c r="O443" s="17"/>
      <c r="P443" s="15"/>
      <c r="Q443" s="15"/>
      <c r="R443" s="15"/>
      <c r="S443" s="15"/>
      <c r="T443" s="15"/>
      <c r="U443" s="15"/>
      <c r="V443" s="17"/>
      <c r="W443" s="17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  <c r="AP443" s="15"/>
      <c r="AQ443" s="15"/>
      <c r="AR443" s="15"/>
      <c r="AS443" s="15"/>
      <c r="AT443" s="15"/>
      <c r="AU443" s="15"/>
      <c r="AV443" s="15"/>
      <c r="AW443" s="15"/>
      <c r="AX443" s="15"/>
      <c r="AY443" s="15"/>
      <c r="AZ443" s="15"/>
      <c r="BA443" s="15"/>
      <c r="BB443" s="15"/>
      <c r="BC443" s="15"/>
      <c r="BD443" s="15"/>
      <c r="BE443" s="15"/>
      <c r="BF443" s="15"/>
      <c r="BG443" s="15"/>
      <c r="BH443" s="15"/>
      <c r="BI443" s="15"/>
    </row>
    <row r="444" spans="1:61" ht="15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7"/>
      <c r="O444" s="17"/>
      <c r="P444" s="15"/>
      <c r="Q444" s="15"/>
      <c r="R444" s="15"/>
      <c r="S444" s="15"/>
      <c r="T444" s="15"/>
      <c r="U444" s="15"/>
      <c r="V444" s="17"/>
      <c r="W444" s="17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  <c r="AO444" s="15"/>
      <c r="AP444" s="15"/>
      <c r="AQ444" s="15"/>
      <c r="AR444" s="15"/>
      <c r="AS444" s="15"/>
      <c r="AT444" s="15"/>
      <c r="AU444" s="15"/>
      <c r="AV444" s="15"/>
      <c r="AW444" s="15"/>
      <c r="AX444" s="15"/>
      <c r="AY444" s="15"/>
      <c r="AZ444" s="15"/>
      <c r="BA444" s="15"/>
      <c r="BB444" s="15"/>
      <c r="BC444" s="15"/>
      <c r="BD444" s="15"/>
      <c r="BE444" s="15"/>
      <c r="BF444" s="15"/>
      <c r="BG444" s="15"/>
      <c r="BH444" s="15"/>
      <c r="BI444" s="15"/>
    </row>
    <row r="445" spans="1:61" ht="15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7"/>
      <c r="O445" s="17"/>
      <c r="P445" s="15"/>
      <c r="Q445" s="15"/>
      <c r="R445" s="15"/>
      <c r="S445" s="15"/>
      <c r="T445" s="15"/>
      <c r="U445" s="15"/>
      <c r="V445" s="17"/>
      <c r="W445" s="17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  <c r="AP445" s="15"/>
      <c r="AQ445" s="15"/>
      <c r="AR445" s="15"/>
      <c r="AS445" s="15"/>
      <c r="AT445" s="15"/>
      <c r="AU445" s="15"/>
      <c r="AV445" s="15"/>
      <c r="AW445" s="15"/>
      <c r="AX445" s="15"/>
      <c r="AY445" s="15"/>
      <c r="AZ445" s="15"/>
      <c r="BA445" s="15"/>
      <c r="BB445" s="15"/>
      <c r="BC445" s="15"/>
      <c r="BD445" s="15"/>
      <c r="BE445" s="15"/>
      <c r="BF445" s="15"/>
      <c r="BG445" s="15"/>
      <c r="BH445" s="15"/>
      <c r="BI445" s="15"/>
    </row>
    <row r="446" spans="1:61" ht="15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7"/>
      <c r="O446" s="17"/>
      <c r="P446" s="15"/>
      <c r="Q446" s="15"/>
      <c r="R446" s="15"/>
      <c r="S446" s="15"/>
      <c r="T446" s="15"/>
      <c r="U446" s="15"/>
      <c r="V446" s="17"/>
      <c r="W446" s="17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  <c r="AP446" s="15"/>
      <c r="AQ446" s="15"/>
      <c r="AR446" s="15"/>
      <c r="AS446" s="15"/>
      <c r="AT446" s="15"/>
      <c r="AU446" s="15"/>
      <c r="AV446" s="15"/>
      <c r="AW446" s="15"/>
      <c r="AX446" s="15"/>
      <c r="AY446" s="15"/>
      <c r="AZ446" s="15"/>
      <c r="BA446" s="15"/>
      <c r="BB446" s="15"/>
      <c r="BC446" s="15"/>
      <c r="BD446" s="15"/>
      <c r="BE446" s="15"/>
      <c r="BF446" s="15"/>
      <c r="BG446" s="15"/>
      <c r="BH446" s="15"/>
      <c r="BI446" s="15"/>
    </row>
    <row r="447" spans="1:61" ht="15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7"/>
      <c r="O447" s="17"/>
      <c r="P447" s="15"/>
      <c r="Q447" s="15"/>
      <c r="R447" s="15"/>
      <c r="S447" s="15"/>
      <c r="T447" s="15"/>
      <c r="U447" s="15"/>
      <c r="V447" s="17"/>
      <c r="W447" s="17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  <c r="AP447" s="15"/>
      <c r="AQ447" s="15"/>
      <c r="AR447" s="15"/>
      <c r="AS447" s="15"/>
      <c r="AT447" s="15"/>
      <c r="AU447" s="15"/>
      <c r="AV447" s="15"/>
      <c r="AW447" s="15"/>
      <c r="AX447" s="15"/>
      <c r="AY447" s="15"/>
      <c r="AZ447" s="15"/>
      <c r="BA447" s="15"/>
      <c r="BB447" s="15"/>
      <c r="BC447" s="15"/>
      <c r="BD447" s="15"/>
      <c r="BE447" s="15"/>
      <c r="BF447" s="15"/>
      <c r="BG447" s="15"/>
      <c r="BH447" s="15"/>
      <c r="BI447" s="15"/>
    </row>
    <row r="448" spans="1:61" ht="15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7"/>
      <c r="O448" s="17"/>
      <c r="P448" s="15"/>
      <c r="Q448" s="15"/>
      <c r="R448" s="15"/>
      <c r="S448" s="15"/>
      <c r="T448" s="15"/>
      <c r="U448" s="15"/>
      <c r="V448" s="17"/>
      <c r="W448" s="17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15"/>
      <c r="AQ448" s="15"/>
      <c r="AR448" s="15"/>
      <c r="AS448" s="15"/>
      <c r="AT448" s="15"/>
      <c r="AU448" s="15"/>
      <c r="AV448" s="15"/>
      <c r="AW448" s="15"/>
      <c r="AX448" s="15"/>
      <c r="AY448" s="15"/>
      <c r="AZ448" s="15"/>
      <c r="BA448" s="15"/>
      <c r="BB448" s="15"/>
      <c r="BC448" s="15"/>
      <c r="BD448" s="15"/>
      <c r="BE448" s="15"/>
      <c r="BF448" s="15"/>
      <c r="BG448" s="15"/>
      <c r="BH448" s="15"/>
      <c r="BI448" s="15"/>
    </row>
    <row r="449" spans="1:61" ht="15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7"/>
      <c r="O449" s="17"/>
      <c r="P449" s="15"/>
      <c r="Q449" s="15"/>
      <c r="R449" s="15"/>
      <c r="S449" s="15"/>
      <c r="T449" s="15"/>
      <c r="U449" s="15"/>
      <c r="V449" s="17"/>
      <c r="W449" s="17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  <c r="AP449" s="15"/>
      <c r="AQ449" s="15"/>
      <c r="AR449" s="15"/>
      <c r="AS449" s="15"/>
      <c r="AT449" s="15"/>
      <c r="AU449" s="15"/>
      <c r="AV449" s="15"/>
      <c r="AW449" s="15"/>
      <c r="AX449" s="15"/>
      <c r="AY449" s="15"/>
      <c r="AZ449" s="15"/>
      <c r="BA449" s="15"/>
      <c r="BB449" s="15"/>
      <c r="BC449" s="15"/>
      <c r="BD449" s="15"/>
      <c r="BE449" s="15"/>
      <c r="BF449" s="15"/>
      <c r="BG449" s="15"/>
      <c r="BH449" s="15"/>
      <c r="BI449" s="15"/>
    </row>
    <row r="450" spans="1:61" ht="15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7"/>
      <c r="O450" s="17"/>
      <c r="P450" s="15"/>
      <c r="Q450" s="15"/>
      <c r="R450" s="15"/>
      <c r="S450" s="15"/>
      <c r="T450" s="15"/>
      <c r="U450" s="15"/>
      <c r="V450" s="17"/>
      <c r="W450" s="17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  <c r="AP450" s="15"/>
      <c r="AQ450" s="15"/>
      <c r="AR450" s="15"/>
      <c r="AS450" s="15"/>
      <c r="AT450" s="15"/>
      <c r="AU450" s="15"/>
      <c r="AV450" s="15"/>
      <c r="AW450" s="15"/>
      <c r="AX450" s="15"/>
      <c r="AY450" s="15"/>
      <c r="AZ450" s="15"/>
      <c r="BA450" s="15"/>
      <c r="BB450" s="15"/>
      <c r="BC450" s="15"/>
      <c r="BD450" s="15"/>
      <c r="BE450" s="15"/>
      <c r="BF450" s="15"/>
      <c r="BG450" s="15"/>
      <c r="BH450" s="15"/>
      <c r="BI450" s="15"/>
    </row>
    <row r="451" spans="1:61" ht="15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7"/>
      <c r="O451" s="17"/>
      <c r="P451" s="15"/>
      <c r="Q451" s="15"/>
      <c r="R451" s="15"/>
      <c r="S451" s="15"/>
      <c r="T451" s="15"/>
      <c r="U451" s="15"/>
      <c r="V451" s="17"/>
      <c r="W451" s="17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  <c r="AP451" s="15"/>
      <c r="AQ451" s="15"/>
      <c r="AR451" s="15"/>
      <c r="AS451" s="15"/>
      <c r="AT451" s="15"/>
      <c r="AU451" s="15"/>
      <c r="AV451" s="15"/>
      <c r="AW451" s="15"/>
      <c r="AX451" s="15"/>
      <c r="AY451" s="15"/>
      <c r="AZ451" s="15"/>
      <c r="BA451" s="15"/>
      <c r="BB451" s="15"/>
      <c r="BC451" s="15"/>
      <c r="BD451" s="15"/>
      <c r="BE451" s="15"/>
      <c r="BF451" s="15"/>
      <c r="BG451" s="15"/>
      <c r="BH451" s="15"/>
      <c r="BI451" s="15"/>
    </row>
    <row r="452" spans="1:61" ht="15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7"/>
      <c r="O452" s="17"/>
      <c r="P452" s="15"/>
      <c r="Q452" s="15"/>
      <c r="R452" s="15"/>
      <c r="S452" s="15"/>
      <c r="T452" s="15"/>
      <c r="U452" s="15"/>
      <c r="V452" s="17"/>
      <c r="W452" s="17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  <c r="AS452" s="15"/>
      <c r="AT452" s="15"/>
      <c r="AU452" s="15"/>
      <c r="AV452" s="15"/>
      <c r="AW452" s="15"/>
      <c r="AX452" s="15"/>
      <c r="AY452" s="15"/>
      <c r="AZ452" s="15"/>
      <c r="BA452" s="15"/>
      <c r="BB452" s="15"/>
      <c r="BC452" s="15"/>
      <c r="BD452" s="15"/>
      <c r="BE452" s="15"/>
      <c r="BF452" s="15"/>
      <c r="BG452" s="15"/>
      <c r="BH452" s="15"/>
      <c r="BI452" s="15"/>
    </row>
    <row r="453" spans="1:61" ht="15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7"/>
      <c r="O453" s="17"/>
      <c r="P453" s="15"/>
      <c r="Q453" s="15"/>
      <c r="R453" s="15"/>
      <c r="S453" s="15"/>
      <c r="T453" s="15"/>
      <c r="U453" s="15"/>
      <c r="V453" s="17"/>
      <c r="W453" s="17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  <c r="AP453" s="15"/>
      <c r="AQ453" s="15"/>
      <c r="AR453" s="15"/>
      <c r="AS453" s="15"/>
      <c r="AT453" s="15"/>
      <c r="AU453" s="15"/>
      <c r="AV453" s="15"/>
      <c r="AW453" s="15"/>
      <c r="AX453" s="15"/>
      <c r="AY453" s="15"/>
      <c r="AZ453" s="15"/>
      <c r="BA453" s="15"/>
      <c r="BB453" s="15"/>
      <c r="BC453" s="15"/>
      <c r="BD453" s="15"/>
      <c r="BE453" s="15"/>
      <c r="BF453" s="15"/>
      <c r="BG453" s="15"/>
      <c r="BH453" s="15"/>
      <c r="BI453" s="15"/>
    </row>
    <row r="454" spans="1:61" ht="15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7"/>
      <c r="O454" s="17"/>
      <c r="P454" s="15"/>
      <c r="Q454" s="15"/>
      <c r="R454" s="15"/>
      <c r="S454" s="15"/>
      <c r="T454" s="15"/>
      <c r="U454" s="15"/>
      <c r="V454" s="17"/>
      <c r="W454" s="17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  <c r="AP454" s="15"/>
      <c r="AQ454" s="15"/>
      <c r="AR454" s="15"/>
      <c r="AS454" s="15"/>
      <c r="AT454" s="15"/>
      <c r="AU454" s="15"/>
      <c r="AV454" s="15"/>
      <c r="AW454" s="15"/>
      <c r="AX454" s="15"/>
      <c r="AY454" s="15"/>
      <c r="AZ454" s="15"/>
      <c r="BA454" s="15"/>
      <c r="BB454" s="15"/>
      <c r="BC454" s="15"/>
      <c r="BD454" s="15"/>
      <c r="BE454" s="15"/>
      <c r="BF454" s="15"/>
      <c r="BG454" s="15"/>
      <c r="BH454" s="15"/>
      <c r="BI454" s="15"/>
    </row>
    <row r="455" spans="1:61" ht="15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7"/>
      <c r="O455" s="17"/>
      <c r="P455" s="15"/>
      <c r="Q455" s="15"/>
      <c r="R455" s="15"/>
      <c r="S455" s="15"/>
      <c r="T455" s="15"/>
      <c r="U455" s="15"/>
      <c r="V455" s="17"/>
      <c r="W455" s="17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  <c r="AP455" s="15"/>
      <c r="AQ455" s="15"/>
      <c r="AR455" s="15"/>
      <c r="AS455" s="15"/>
      <c r="AT455" s="15"/>
      <c r="AU455" s="15"/>
      <c r="AV455" s="15"/>
      <c r="AW455" s="15"/>
      <c r="AX455" s="15"/>
      <c r="AY455" s="15"/>
      <c r="AZ455" s="15"/>
      <c r="BA455" s="15"/>
      <c r="BB455" s="15"/>
      <c r="BC455" s="15"/>
      <c r="BD455" s="15"/>
      <c r="BE455" s="15"/>
      <c r="BF455" s="15"/>
      <c r="BG455" s="15"/>
      <c r="BH455" s="15"/>
      <c r="BI455" s="15"/>
    </row>
    <row r="456" spans="1:61" ht="15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7"/>
      <c r="O456" s="17"/>
      <c r="P456" s="15"/>
      <c r="Q456" s="15"/>
      <c r="R456" s="15"/>
      <c r="S456" s="15"/>
      <c r="T456" s="15"/>
      <c r="U456" s="15"/>
      <c r="V456" s="17"/>
      <c r="W456" s="17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  <c r="AP456" s="15"/>
      <c r="AQ456" s="15"/>
      <c r="AR456" s="15"/>
      <c r="AS456" s="15"/>
      <c r="AT456" s="15"/>
      <c r="AU456" s="15"/>
      <c r="AV456" s="15"/>
      <c r="AW456" s="15"/>
      <c r="AX456" s="15"/>
      <c r="AY456" s="15"/>
      <c r="AZ456" s="15"/>
      <c r="BA456" s="15"/>
      <c r="BB456" s="15"/>
      <c r="BC456" s="15"/>
      <c r="BD456" s="15"/>
      <c r="BE456" s="15"/>
      <c r="BF456" s="15"/>
      <c r="BG456" s="15"/>
      <c r="BH456" s="15"/>
      <c r="BI456" s="15"/>
    </row>
    <row r="457" spans="1:61" ht="15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7"/>
      <c r="O457" s="17"/>
      <c r="P457" s="15"/>
      <c r="Q457" s="15"/>
      <c r="R457" s="15"/>
      <c r="S457" s="15"/>
      <c r="T457" s="15"/>
      <c r="U457" s="15"/>
      <c r="V457" s="17"/>
      <c r="W457" s="17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  <c r="AP457" s="15"/>
      <c r="AQ457" s="15"/>
      <c r="AR457" s="15"/>
      <c r="AS457" s="15"/>
      <c r="AT457" s="15"/>
      <c r="AU457" s="15"/>
      <c r="AV457" s="15"/>
      <c r="AW457" s="15"/>
      <c r="AX457" s="15"/>
      <c r="AY457" s="15"/>
      <c r="AZ457" s="15"/>
      <c r="BA457" s="15"/>
      <c r="BB457" s="15"/>
      <c r="BC457" s="15"/>
      <c r="BD457" s="15"/>
      <c r="BE457" s="15"/>
      <c r="BF457" s="15"/>
      <c r="BG457" s="15"/>
      <c r="BH457" s="15"/>
      <c r="BI457" s="15"/>
    </row>
    <row r="458" spans="1:61" ht="15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7"/>
      <c r="O458" s="17"/>
      <c r="P458" s="15"/>
      <c r="Q458" s="15"/>
      <c r="R458" s="15"/>
      <c r="S458" s="15"/>
      <c r="T458" s="15"/>
      <c r="U458" s="15"/>
      <c r="V458" s="17"/>
      <c r="W458" s="17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  <c r="AP458" s="15"/>
      <c r="AQ458" s="15"/>
      <c r="AR458" s="15"/>
      <c r="AS458" s="15"/>
      <c r="AT458" s="15"/>
      <c r="AU458" s="15"/>
      <c r="AV458" s="15"/>
      <c r="AW458" s="15"/>
      <c r="AX458" s="15"/>
      <c r="AY458" s="15"/>
      <c r="AZ458" s="15"/>
      <c r="BA458" s="15"/>
      <c r="BB458" s="15"/>
      <c r="BC458" s="15"/>
      <c r="BD458" s="15"/>
      <c r="BE458" s="15"/>
      <c r="BF458" s="15"/>
      <c r="BG458" s="15"/>
      <c r="BH458" s="15"/>
      <c r="BI458" s="15"/>
    </row>
    <row r="459" spans="1:61" ht="15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7"/>
      <c r="O459" s="17"/>
      <c r="P459" s="15"/>
      <c r="Q459" s="15"/>
      <c r="R459" s="15"/>
      <c r="S459" s="15"/>
      <c r="T459" s="15"/>
      <c r="U459" s="15"/>
      <c r="V459" s="17"/>
      <c r="W459" s="17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  <c r="AP459" s="15"/>
      <c r="AQ459" s="15"/>
      <c r="AR459" s="15"/>
      <c r="AS459" s="15"/>
      <c r="AT459" s="15"/>
      <c r="AU459" s="15"/>
      <c r="AV459" s="15"/>
      <c r="AW459" s="15"/>
      <c r="AX459" s="15"/>
      <c r="AY459" s="15"/>
      <c r="AZ459" s="15"/>
      <c r="BA459" s="15"/>
      <c r="BB459" s="15"/>
      <c r="BC459" s="15"/>
      <c r="BD459" s="15"/>
      <c r="BE459" s="15"/>
      <c r="BF459" s="15"/>
      <c r="BG459" s="15"/>
      <c r="BH459" s="15"/>
      <c r="BI459" s="15"/>
    </row>
    <row r="460" spans="1:61" ht="15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7"/>
      <c r="O460" s="17"/>
      <c r="P460" s="15"/>
      <c r="Q460" s="15"/>
      <c r="R460" s="15"/>
      <c r="S460" s="15"/>
      <c r="T460" s="15"/>
      <c r="U460" s="15"/>
      <c r="V460" s="17"/>
      <c r="W460" s="17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  <c r="AP460" s="15"/>
      <c r="AQ460" s="15"/>
      <c r="AR460" s="15"/>
      <c r="AS460" s="15"/>
      <c r="AT460" s="15"/>
      <c r="AU460" s="15"/>
      <c r="AV460" s="15"/>
      <c r="AW460" s="15"/>
      <c r="AX460" s="15"/>
      <c r="AY460" s="15"/>
      <c r="AZ460" s="15"/>
      <c r="BA460" s="15"/>
      <c r="BB460" s="15"/>
      <c r="BC460" s="15"/>
      <c r="BD460" s="15"/>
      <c r="BE460" s="15"/>
      <c r="BF460" s="15"/>
      <c r="BG460" s="15"/>
      <c r="BH460" s="15"/>
      <c r="BI460" s="15"/>
    </row>
    <row r="461" spans="1:61" ht="15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7"/>
      <c r="O461" s="17"/>
      <c r="P461" s="15"/>
      <c r="Q461" s="15"/>
      <c r="R461" s="15"/>
      <c r="S461" s="15"/>
      <c r="T461" s="15"/>
      <c r="U461" s="15"/>
      <c r="V461" s="17"/>
      <c r="W461" s="17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  <c r="AP461" s="15"/>
      <c r="AQ461" s="15"/>
      <c r="AR461" s="15"/>
      <c r="AS461" s="15"/>
      <c r="AT461" s="15"/>
      <c r="AU461" s="15"/>
      <c r="AV461" s="15"/>
      <c r="AW461" s="15"/>
      <c r="AX461" s="15"/>
      <c r="AY461" s="15"/>
      <c r="AZ461" s="15"/>
      <c r="BA461" s="15"/>
      <c r="BB461" s="15"/>
      <c r="BC461" s="15"/>
      <c r="BD461" s="15"/>
      <c r="BE461" s="15"/>
      <c r="BF461" s="15"/>
      <c r="BG461" s="15"/>
      <c r="BH461" s="15"/>
      <c r="BI461" s="15"/>
    </row>
    <row r="462" spans="1:61" ht="15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7"/>
      <c r="O462" s="17"/>
      <c r="P462" s="15"/>
      <c r="Q462" s="15"/>
      <c r="R462" s="15"/>
      <c r="S462" s="15"/>
      <c r="T462" s="15"/>
      <c r="U462" s="15"/>
      <c r="V462" s="17"/>
      <c r="W462" s="17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5"/>
      <c r="AQ462" s="15"/>
      <c r="AR462" s="15"/>
      <c r="AS462" s="15"/>
      <c r="AT462" s="15"/>
      <c r="AU462" s="15"/>
      <c r="AV462" s="15"/>
      <c r="AW462" s="15"/>
      <c r="AX462" s="15"/>
      <c r="AY462" s="15"/>
      <c r="AZ462" s="15"/>
      <c r="BA462" s="15"/>
      <c r="BB462" s="15"/>
      <c r="BC462" s="15"/>
      <c r="BD462" s="15"/>
      <c r="BE462" s="15"/>
      <c r="BF462" s="15"/>
      <c r="BG462" s="15"/>
      <c r="BH462" s="15"/>
      <c r="BI462" s="15"/>
    </row>
    <row r="463" spans="1:61" ht="15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7"/>
      <c r="O463" s="17"/>
      <c r="P463" s="15"/>
      <c r="Q463" s="15"/>
      <c r="R463" s="15"/>
      <c r="S463" s="15"/>
      <c r="T463" s="15"/>
      <c r="U463" s="15"/>
      <c r="V463" s="17"/>
      <c r="W463" s="17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  <c r="AP463" s="15"/>
      <c r="AQ463" s="15"/>
      <c r="AR463" s="15"/>
      <c r="AS463" s="15"/>
      <c r="AT463" s="15"/>
      <c r="AU463" s="15"/>
      <c r="AV463" s="15"/>
      <c r="AW463" s="15"/>
      <c r="AX463" s="15"/>
      <c r="AY463" s="15"/>
      <c r="AZ463" s="15"/>
      <c r="BA463" s="15"/>
      <c r="BB463" s="15"/>
      <c r="BC463" s="15"/>
      <c r="BD463" s="15"/>
      <c r="BE463" s="15"/>
      <c r="BF463" s="15"/>
      <c r="BG463" s="15"/>
      <c r="BH463" s="15"/>
      <c r="BI463" s="15"/>
    </row>
    <row r="464" spans="1:61" ht="15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7"/>
      <c r="O464" s="17"/>
      <c r="P464" s="15"/>
      <c r="Q464" s="15"/>
      <c r="R464" s="15"/>
      <c r="S464" s="15"/>
      <c r="T464" s="15"/>
      <c r="U464" s="15"/>
      <c r="V464" s="17"/>
      <c r="W464" s="17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  <c r="AQ464" s="15"/>
      <c r="AR464" s="15"/>
      <c r="AS464" s="15"/>
      <c r="AT464" s="15"/>
      <c r="AU464" s="15"/>
      <c r="AV464" s="15"/>
      <c r="AW464" s="15"/>
      <c r="AX464" s="15"/>
      <c r="AY464" s="15"/>
      <c r="AZ464" s="15"/>
      <c r="BA464" s="15"/>
      <c r="BB464" s="15"/>
      <c r="BC464" s="15"/>
      <c r="BD464" s="15"/>
      <c r="BE464" s="15"/>
      <c r="BF464" s="15"/>
      <c r="BG464" s="15"/>
      <c r="BH464" s="15"/>
      <c r="BI464" s="15"/>
    </row>
    <row r="465" spans="1:61" ht="15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7"/>
      <c r="O465" s="17"/>
      <c r="P465" s="15"/>
      <c r="Q465" s="15"/>
      <c r="R465" s="15"/>
      <c r="S465" s="15"/>
      <c r="T465" s="15"/>
      <c r="U465" s="15"/>
      <c r="V465" s="17"/>
      <c r="W465" s="17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  <c r="AP465" s="15"/>
      <c r="AQ465" s="15"/>
      <c r="AR465" s="15"/>
      <c r="AS465" s="15"/>
      <c r="AT465" s="15"/>
      <c r="AU465" s="15"/>
      <c r="AV465" s="15"/>
      <c r="AW465" s="15"/>
      <c r="AX465" s="15"/>
      <c r="AY465" s="15"/>
      <c r="AZ465" s="15"/>
      <c r="BA465" s="15"/>
      <c r="BB465" s="15"/>
      <c r="BC465" s="15"/>
      <c r="BD465" s="15"/>
      <c r="BE465" s="15"/>
      <c r="BF465" s="15"/>
      <c r="BG465" s="15"/>
      <c r="BH465" s="15"/>
      <c r="BI465" s="15"/>
    </row>
    <row r="466" spans="1:61" ht="15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7"/>
      <c r="O466" s="17"/>
      <c r="P466" s="15"/>
      <c r="Q466" s="15"/>
      <c r="R466" s="15"/>
      <c r="S466" s="15"/>
      <c r="T466" s="15"/>
      <c r="U466" s="15"/>
      <c r="V466" s="17"/>
      <c r="W466" s="17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  <c r="AP466" s="15"/>
      <c r="AQ466" s="15"/>
      <c r="AR466" s="15"/>
      <c r="AS466" s="15"/>
      <c r="AT466" s="15"/>
      <c r="AU466" s="15"/>
      <c r="AV466" s="15"/>
      <c r="AW466" s="15"/>
      <c r="AX466" s="15"/>
      <c r="AY466" s="15"/>
      <c r="AZ466" s="15"/>
      <c r="BA466" s="15"/>
      <c r="BB466" s="15"/>
      <c r="BC466" s="15"/>
      <c r="BD466" s="15"/>
      <c r="BE466" s="15"/>
      <c r="BF466" s="15"/>
      <c r="BG466" s="15"/>
      <c r="BH466" s="15"/>
      <c r="BI466" s="15"/>
    </row>
    <row r="467" spans="1:61" ht="15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7"/>
      <c r="O467" s="17"/>
      <c r="P467" s="15"/>
      <c r="Q467" s="15"/>
      <c r="R467" s="15"/>
      <c r="S467" s="15"/>
      <c r="T467" s="15"/>
      <c r="U467" s="15"/>
      <c r="V467" s="17"/>
      <c r="W467" s="17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  <c r="AP467" s="15"/>
      <c r="AQ467" s="15"/>
      <c r="AR467" s="15"/>
      <c r="AS467" s="15"/>
      <c r="AT467" s="15"/>
      <c r="AU467" s="15"/>
      <c r="AV467" s="15"/>
      <c r="AW467" s="15"/>
      <c r="AX467" s="15"/>
      <c r="AY467" s="15"/>
      <c r="AZ467" s="15"/>
      <c r="BA467" s="15"/>
      <c r="BB467" s="15"/>
      <c r="BC467" s="15"/>
      <c r="BD467" s="15"/>
      <c r="BE467" s="15"/>
      <c r="BF467" s="15"/>
      <c r="BG467" s="15"/>
      <c r="BH467" s="15"/>
      <c r="BI467" s="15"/>
    </row>
    <row r="468" spans="1:61" ht="15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7"/>
      <c r="O468" s="17"/>
      <c r="P468" s="15"/>
      <c r="Q468" s="15"/>
      <c r="R468" s="15"/>
      <c r="S468" s="15"/>
      <c r="T468" s="15"/>
      <c r="U468" s="15"/>
      <c r="V468" s="17"/>
      <c r="W468" s="17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15"/>
      <c r="AQ468" s="15"/>
      <c r="AR468" s="15"/>
      <c r="AS468" s="15"/>
      <c r="AT468" s="15"/>
      <c r="AU468" s="15"/>
      <c r="AV468" s="15"/>
      <c r="AW468" s="15"/>
      <c r="AX468" s="15"/>
      <c r="AY468" s="15"/>
      <c r="AZ468" s="15"/>
      <c r="BA468" s="15"/>
      <c r="BB468" s="15"/>
      <c r="BC468" s="15"/>
      <c r="BD468" s="15"/>
      <c r="BE468" s="15"/>
      <c r="BF468" s="15"/>
      <c r="BG468" s="15"/>
      <c r="BH468" s="15"/>
      <c r="BI468" s="15"/>
    </row>
    <row r="469" spans="1:61" ht="15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7"/>
      <c r="O469" s="17"/>
      <c r="P469" s="15"/>
      <c r="Q469" s="15"/>
      <c r="R469" s="15"/>
      <c r="S469" s="15"/>
      <c r="T469" s="15"/>
      <c r="U469" s="15"/>
      <c r="V469" s="17"/>
      <c r="W469" s="17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  <c r="AP469" s="15"/>
      <c r="AQ469" s="15"/>
      <c r="AR469" s="15"/>
      <c r="AS469" s="15"/>
      <c r="AT469" s="15"/>
      <c r="AU469" s="15"/>
      <c r="AV469" s="15"/>
      <c r="AW469" s="15"/>
      <c r="AX469" s="15"/>
      <c r="AY469" s="15"/>
      <c r="AZ469" s="15"/>
      <c r="BA469" s="15"/>
      <c r="BB469" s="15"/>
      <c r="BC469" s="15"/>
      <c r="BD469" s="15"/>
      <c r="BE469" s="15"/>
      <c r="BF469" s="15"/>
      <c r="BG469" s="15"/>
      <c r="BH469" s="15"/>
      <c r="BI469" s="15"/>
    </row>
    <row r="470" spans="1:61" ht="15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7"/>
      <c r="O470" s="17"/>
      <c r="P470" s="15"/>
      <c r="Q470" s="15"/>
      <c r="R470" s="15"/>
      <c r="S470" s="15"/>
      <c r="T470" s="15"/>
      <c r="U470" s="15"/>
      <c r="V470" s="17"/>
      <c r="W470" s="17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  <c r="AP470" s="15"/>
      <c r="AQ470" s="15"/>
      <c r="AR470" s="15"/>
      <c r="AS470" s="15"/>
      <c r="AT470" s="15"/>
      <c r="AU470" s="15"/>
      <c r="AV470" s="15"/>
      <c r="AW470" s="15"/>
      <c r="AX470" s="15"/>
      <c r="AY470" s="15"/>
      <c r="AZ470" s="15"/>
      <c r="BA470" s="15"/>
      <c r="BB470" s="15"/>
      <c r="BC470" s="15"/>
      <c r="BD470" s="15"/>
      <c r="BE470" s="15"/>
      <c r="BF470" s="15"/>
      <c r="BG470" s="15"/>
      <c r="BH470" s="15"/>
      <c r="BI470" s="15"/>
    </row>
    <row r="471" spans="1:61" ht="15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7"/>
      <c r="O471" s="17"/>
      <c r="P471" s="15"/>
      <c r="Q471" s="15"/>
      <c r="R471" s="15"/>
      <c r="S471" s="15"/>
      <c r="T471" s="15"/>
      <c r="U471" s="15"/>
      <c r="V471" s="17"/>
      <c r="W471" s="17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  <c r="AP471" s="15"/>
      <c r="AQ471" s="15"/>
      <c r="AR471" s="15"/>
      <c r="AS471" s="15"/>
      <c r="AT471" s="15"/>
      <c r="AU471" s="15"/>
      <c r="AV471" s="15"/>
      <c r="AW471" s="15"/>
      <c r="AX471" s="15"/>
      <c r="AY471" s="15"/>
      <c r="AZ471" s="15"/>
      <c r="BA471" s="15"/>
      <c r="BB471" s="15"/>
      <c r="BC471" s="15"/>
      <c r="BD471" s="15"/>
      <c r="BE471" s="15"/>
      <c r="BF471" s="15"/>
      <c r="BG471" s="15"/>
      <c r="BH471" s="15"/>
      <c r="BI471" s="15"/>
    </row>
    <row r="472" spans="1:61" ht="15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7"/>
      <c r="O472" s="17"/>
      <c r="P472" s="15"/>
      <c r="Q472" s="15"/>
      <c r="R472" s="15"/>
      <c r="S472" s="15"/>
      <c r="T472" s="15"/>
      <c r="U472" s="15"/>
      <c r="V472" s="17"/>
      <c r="W472" s="17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  <c r="AP472" s="15"/>
      <c r="AQ472" s="15"/>
      <c r="AR472" s="15"/>
      <c r="AS472" s="15"/>
      <c r="AT472" s="15"/>
      <c r="AU472" s="15"/>
      <c r="AV472" s="15"/>
      <c r="AW472" s="15"/>
      <c r="AX472" s="15"/>
      <c r="AY472" s="15"/>
      <c r="AZ472" s="15"/>
      <c r="BA472" s="15"/>
      <c r="BB472" s="15"/>
      <c r="BC472" s="15"/>
      <c r="BD472" s="15"/>
      <c r="BE472" s="15"/>
      <c r="BF472" s="15"/>
      <c r="BG472" s="15"/>
      <c r="BH472" s="15"/>
      <c r="BI472" s="15"/>
    </row>
    <row r="473" spans="1:61" ht="15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7"/>
      <c r="O473" s="17"/>
      <c r="P473" s="15"/>
      <c r="Q473" s="15"/>
      <c r="R473" s="15"/>
      <c r="S473" s="15"/>
      <c r="T473" s="15"/>
      <c r="U473" s="15"/>
      <c r="V473" s="17"/>
      <c r="W473" s="17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  <c r="AP473" s="15"/>
      <c r="AQ473" s="15"/>
      <c r="AR473" s="15"/>
      <c r="AS473" s="15"/>
      <c r="AT473" s="15"/>
      <c r="AU473" s="15"/>
      <c r="AV473" s="15"/>
      <c r="AW473" s="15"/>
      <c r="AX473" s="15"/>
      <c r="AY473" s="15"/>
      <c r="AZ473" s="15"/>
      <c r="BA473" s="15"/>
      <c r="BB473" s="15"/>
      <c r="BC473" s="15"/>
      <c r="BD473" s="15"/>
      <c r="BE473" s="15"/>
      <c r="BF473" s="15"/>
      <c r="BG473" s="15"/>
      <c r="BH473" s="15"/>
      <c r="BI473" s="15"/>
    </row>
    <row r="474" spans="1:61" ht="15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7"/>
      <c r="O474" s="17"/>
      <c r="P474" s="15"/>
      <c r="Q474" s="15"/>
      <c r="R474" s="15"/>
      <c r="S474" s="15"/>
      <c r="T474" s="15"/>
      <c r="U474" s="15"/>
      <c r="V474" s="17"/>
      <c r="W474" s="17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  <c r="AP474" s="15"/>
      <c r="AQ474" s="15"/>
      <c r="AR474" s="15"/>
      <c r="AS474" s="15"/>
      <c r="AT474" s="15"/>
      <c r="AU474" s="15"/>
      <c r="AV474" s="15"/>
      <c r="AW474" s="15"/>
      <c r="AX474" s="15"/>
      <c r="AY474" s="15"/>
      <c r="AZ474" s="15"/>
      <c r="BA474" s="15"/>
      <c r="BB474" s="15"/>
      <c r="BC474" s="15"/>
      <c r="BD474" s="15"/>
      <c r="BE474" s="15"/>
      <c r="BF474" s="15"/>
      <c r="BG474" s="15"/>
      <c r="BH474" s="15"/>
      <c r="BI474" s="15"/>
    </row>
    <row r="475" spans="1:61" ht="15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7"/>
      <c r="O475" s="17"/>
      <c r="P475" s="15"/>
      <c r="Q475" s="15"/>
      <c r="R475" s="15"/>
      <c r="S475" s="15"/>
      <c r="T475" s="15"/>
      <c r="U475" s="15"/>
      <c r="V475" s="17"/>
      <c r="W475" s="17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  <c r="AP475" s="15"/>
      <c r="AQ475" s="15"/>
      <c r="AR475" s="15"/>
      <c r="AS475" s="15"/>
      <c r="AT475" s="15"/>
      <c r="AU475" s="15"/>
      <c r="AV475" s="15"/>
      <c r="AW475" s="15"/>
      <c r="AX475" s="15"/>
      <c r="AY475" s="15"/>
      <c r="AZ475" s="15"/>
      <c r="BA475" s="15"/>
      <c r="BB475" s="15"/>
      <c r="BC475" s="15"/>
      <c r="BD475" s="15"/>
      <c r="BE475" s="15"/>
      <c r="BF475" s="15"/>
      <c r="BG475" s="15"/>
      <c r="BH475" s="15"/>
      <c r="BI475" s="15"/>
    </row>
    <row r="476" spans="1:61" ht="15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7"/>
      <c r="O476" s="17"/>
      <c r="P476" s="15"/>
      <c r="Q476" s="15"/>
      <c r="R476" s="15"/>
      <c r="S476" s="15"/>
      <c r="T476" s="15"/>
      <c r="U476" s="15"/>
      <c r="V476" s="17"/>
      <c r="W476" s="17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  <c r="AQ476" s="15"/>
      <c r="AR476" s="15"/>
      <c r="AS476" s="15"/>
      <c r="AT476" s="15"/>
      <c r="AU476" s="15"/>
      <c r="AV476" s="15"/>
      <c r="AW476" s="15"/>
      <c r="AX476" s="15"/>
      <c r="AY476" s="15"/>
      <c r="AZ476" s="15"/>
      <c r="BA476" s="15"/>
      <c r="BB476" s="15"/>
      <c r="BC476" s="15"/>
      <c r="BD476" s="15"/>
      <c r="BE476" s="15"/>
      <c r="BF476" s="15"/>
      <c r="BG476" s="15"/>
      <c r="BH476" s="15"/>
      <c r="BI476" s="15"/>
    </row>
    <row r="477" spans="1:61" ht="15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7"/>
      <c r="O477" s="17"/>
      <c r="P477" s="15"/>
      <c r="Q477" s="15"/>
      <c r="R477" s="15"/>
      <c r="S477" s="15"/>
      <c r="T477" s="15"/>
      <c r="U477" s="15"/>
      <c r="V477" s="17"/>
      <c r="W477" s="17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  <c r="AP477" s="15"/>
      <c r="AQ477" s="15"/>
      <c r="AR477" s="15"/>
      <c r="AS477" s="15"/>
      <c r="AT477" s="15"/>
      <c r="AU477" s="15"/>
      <c r="AV477" s="15"/>
      <c r="AW477" s="15"/>
      <c r="AX477" s="15"/>
      <c r="AY477" s="15"/>
      <c r="AZ477" s="15"/>
      <c r="BA477" s="15"/>
      <c r="BB477" s="15"/>
      <c r="BC477" s="15"/>
      <c r="BD477" s="15"/>
      <c r="BE477" s="15"/>
      <c r="BF477" s="15"/>
      <c r="BG477" s="15"/>
      <c r="BH477" s="15"/>
      <c r="BI477" s="15"/>
    </row>
    <row r="478" spans="1:61" ht="15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7"/>
      <c r="O478" s="17"/>
      <c r="P478" s="15"/>
      <c r="Q478" s="15"/>
      <c r="R478" s="15"/>
      <c r="S478" s="15"/>
      <c r="T478" s="15"/>
      <c r="U478" s="15"/>
      <c r="V478" s="17"/>
      <c r="W478" s="17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  <c r="AP478" s="15"/>
      <c r="AQ478" s="15"/>
      <c r="AR478" s="15"/>
      <c r="AS478" s="15"/>
      <c r="AT478" s="15"/>
      <c r="AU478" s="15"/>
      <c r="AV478" s="15"/>
      <c r="AW478" s="15"/>
      <c r="AX478" s="15"/>
      <c r="AY478" s="15"/>
      <c r="AZ478" s="15"/>
      <c r="BA478" s="15"/>
      <c r="BB478" s="15"/>
      <c r="BC478" s="15"/>
      <c r="BD478" s="15"/>
      <c r="BE478" s="15"/>
      <c r="BF478" s="15"/>
      <c r="BG478" s="15"/>
      <c r="BH478" s="15"/>
      <c r="BI478" s="15"/>
    </row>
    <row r="479" spans="1:61" ht="15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7"/>
      <c r="O479" s="17"/>
      <c r="P479" s="15"/>
      <c r="Q479" s="15"/>
      <c r="R479" s="15"/>
      <c r="S479" s="15"/>
      <c r="T479" s="15"/>
      <c r="U479" s="15"/>
      <c r="V479" s="17"/>
      <c r="W479" s="17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  <c r="AO479" s="15"/>
      <c r="AP479" s="15"/>
      <c r="AQ479" s="15"/>
      <c r="AR479" s="15"/>
      <c r="AS479" s="15"/>
      <c r="AT479" s="15"/>
      <c r="AU479" s="15"/>
      <c r="AV479" s="15"/>
      <c r="AW479" s="15"/>
      <c r="AX479" s="15"/>
      <c r="AY479" s="15"/>
      <c r="AZ479" s="15"/>
      <c r="BA479" s="15"/>
      <c r="BB479" s="15"/>
      <c r="BC479" s="15"/>
      <c r="BD479" s="15"/>
      <c r="BE479" s="15"/>
      <c r="BF479" s="15"/>
      <c r="BG479" s="15"/>
      <c r="BH479" s="15"/>
      <c r="BI479" s="15"/>
    </row>
    <row r="480" spans="1:61" ht="15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7"/>
      <c r="O480" s="17"/>
      <c r="P480" s="15"/>
      <c r="Q480" s="15"/>
      <c r="R480" s="15"/>
      <c r="S480" s="15"/>
      <c r="T480" s="15"/>
      <c r="U480" s="15"/>
      <c r="V480" s="17"/>
      <c r="W480" s="17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  <c r="AP480" s="15"/>
      <c r="AQ480" s="15"/>
      <c r="AR480" s="15"/>
      <c r="AS480" s="15"/>
      <c r="AT480" s="15"/>
      <c r="AU480" s="15"/>
      <c r="AV480" s="15"/>
      <c r="AW480" s="15"/>
      <c r="AX480" s="15"/>
      <c r="AY480" s="15"/>
      <c r="AZ480" s="15"/>
      <c r="BA480" s="15"/>
      <c r="BB480" s="15"/>
      <c r="BC480" s="15"/>
      <c r="BD480" s="15"/>
      <c r="BE480" s="15"/>
      <c r="BF480" s="15"/>
      <c r="BG480" s="15"/>
      <c r="BH480" s="15"/>
      <c r="BI480" s="15"/>
    </row>
    <row r="481" spans="1:61" ht="15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7"/>
      <c r="O481" s="17"/>
      <c r="P481" s="15"/>
      <c r="Q481" s="15"/>
      <c r="R481" s="15"/>
      <c r="S481" s="15"/>
      <c r="T481" s="15"/>
      <c r="U481" s="15"/>
      <c r="V481" s="17"/>
      <c r="W481" s="17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  <c r="AO481" s="15"/>
      <c r="AP481" s="15"/>
      <c r="AQ481" s="15"/>
      <c r="AR481" s="15"/>
      <c r="AS481" s="15"/>
      <c r="AT481" s="15"/>
      <c r="AU481" s="15"/>
      <c r="AV481" s="15"/>
      <c r="AW481" s="15"/>
      <c r="AX481" s="15"/>
      <c r="AY481" s="15"/>
      <c r="AZ481" s="15"/>
      <c r="BA481" s="15"/>
      <c r="BB481" s="15"/>
      <c r="BC481" s="15"/>
      <c r="BD481" s="15"/>
      <c r="BE481" s="15"/>
      <c r="BF481" s="15"/>
      <c r="BG481" s="15"/>
      <c r="BH481" s="15"/>
      <c r="BI481" s="15"/>
    </row>
    <row r="482" spans="1:61" ht="15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7"/>
      <c r="O482" s="17"/>
      <c r="P482" s="15"/>
      <c r="Q482" s="15"/>
      <c r="R482" s="15"/>
      <c r="S482" s="15"/>
      <c r="T482" s="15"/>
      <c r="U482" s="15"/>
      <c r="V482" s="17"/>
      <c r="W482" s="17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  <c r="AP482" s="15"/>
      <c r="AQ482" s="15"/>
      <c r="AR482" s="15"/>
      <c r="AS482" s="15"/>
      <c r="AT482" s="15"/>
      <c r="AU482" s="15"/>
      <c r="AV482" s="15"/>
      <c r="AW482" s="15"/>
      <c r="AX482" s="15"/>
      <c r="AY482" s="15"/>
      <c r="AZ482" s="15"/>
      <c r="BA482" s="15"/>
      <c r="BB482" s="15"/>
      <c r="BC482" s="15"/>
      <c r="BD482" s="15"/>
      <c r="BE482" s="15"/>
      <c r="BF482" s="15"/>
      <c r="BG482" s="15"/>
      <c r="BH482" s="15"/>
      <c r="BI482" s="15"/>
    </row>
    <row r="483" spans="1:61" ht="15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7"/>
      <c r="O483" s="17"/>
      <c r="P483" s="15"/>
      <c r="Q483" s="15"/>
      <c r="R483" s="15"/>
      <c r="S483" s="15"/>
      <c r="T483" s="15"/>
      <c r="U483" s="15"/>
      <c r="V483" s="17"/>
      <c r="W483" s="17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  <c r="AP483" s="15"/>
      <c r="AQ483" s="15"/>
      <c r="AR483" s="15"/>
      <c r="AS483" s="15"/>
      <c r="AT483" s="15"/>
      <c r="AU483" s="15"/>
      <c r="AV483" s="15"/>
      <c r="AW483" s="15"/>
      <c r="AX483" s="15"/>
      <c r="AY483" s="15"/>
      <c r="AZ483" s="15"/>
      <c r="BA483" s="15"/>
      <c r="BB483" s="15"/>
      <c r="BC483" s="15"/>
      <c r="BD483" s="15"/>
      <c r="BE483" s="15"/>
      <c r="BF483" s="15"/>
      <c r="BG483" s="15"/>
      <c r="BH483" s="15"/>
      <c r="BI483" s="15"/>
    </row>
    <row r="484" spans="1:61" ht="15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7"/>
      <c r="O484" s="17"/>
      <c r="P484" s="15"/>
      <c r="Q484" s="15"/>
      <c r="R484" s="15"/>
      <c r="S484" s="15"/>
      <c r="T484" s="15"/>
      <c r="U484" s="15"/>
      <c r="V484" s="17"/>
      <c r="W484" s="17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  <c r="AP484" s="15"/>
      <c r="AQ484" s="15"/>
      <c r="AR484" s="15"/>
      <c r="AS484" s="15"/>
      <c r="AT484" s="15"/>
      <c r="AU484" s="15"/>
      <c r="AV484" s="15"/>
      <c r="AW484" s="15"/>
      <c r="AX484" s="15"/>
      <c r="AY484" s="15"/>
      <c r="AZ484" s="15"/>
      <c r="BA484" s="15"/>
      <c r="BB484" s="15"/>
      <c r="BC484" s="15"/>
      <c r="BD484" s="15"/>
      <c r="BE484" s="15"/>
      <c r="BF484" s="15"/>
      <c r="BG484" s="15"/>
      <c r="BH484" s="15"/>
      <c r="BI484" s="15"/>
    </row>
    <row r="485" spans="1:61" ht="15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7"/>
      <c r="O485" s="17"/>
      <c r="P485" s="15"/>
      <c r="Q485" s="15"/>
      <c r="R485" s="15"/>
      <c r="S485" s="15"/>
      <c r="T485" s="15"/>
      <c r="U485" s="15"/>
      <c r="V485" s="17"/>
      <c r="W485" s="17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  <c r="AO485" s="15"/>
      <c r="AP485" s="15"/>
      <c r="AQ485" s="15"/>
      <c r="AR485" s="15"/>
      <c r="AS485" s="15"/>
      <c r="AT485" s="15"/>
      <c r="AU485" s="15"/>
      <c r="AV485" s="15"/>
      <c r="AW485" s="15"/>
      <c r="AX485" s="15"/>
      <c r="AY485" s="15"/>
      <c r="AZ485" s="15"/>
      <c r="BA485" s="15"/>
      <c r="BB485" s="15"/>
      <c r="BC485" s="15"/>
      <c r="BD485" s="15"/>
      <c r="BE485" s="15"/>
      <c r="BF485" s="15"/>
      <c r="BG485" s="15"/>
      <c r="BH485" s="15"/>
      <c r="BI485" s="15"/>
    </row>
    <row r="486" spans="1:61" ht="15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7"/>
      <c r="O486" s="17"/>
      <c r="P486" s="15"/>
      <c r="Q486" s="15"/>
      <c r="R486" s="15"/>
      <c r="S486" s="15"/>
      <c r="T486" s="15"/>
      <c r="U486" s="15"/>
      <c r="V486" s="17"/>
      <c r="W486" s="17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  <c r="AP486" s="15"/>
      <c r="AQ486" s="15"/>
      <c r="AR486" s="15"/>
      <c r="AS486" s="15"/>
      <c r="AT486" s="15"/>
      <c r="AU486" s="15"/>
      <c r="AV486" s="15"/>
      <c r="AW486" s="15"/>
      <c r="AX486" s="15"/>
      <c r="AY486" s="15"/>
      <c r="AZ486" s="15"/>
      <c r="BA486" s="15"/>
      <c r="BB486" s="15"/>
      <c r="BC486" s="15"/>
      <c r="BD486" s="15"/>
      <c r="BE486" s="15"/>
      <c r="BF486" s="15"/>
      <c r="BG486" s="15"/>
      <c r="BH486" s="15"/>
      <c r="BI486" s="15"/>
    </row>
    <row r="487" spans="1:61" ht="15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7"/>
      <c r="O487" s="17"/>
      <c r="P487" s="15"/>
      <c r="Q487" s="15"/>
      <c r="R487" s="15"/>
      <c r="S487" s="15"/>
      <c r="T487" s="15"/>
      <c r="U487" s="15"/>
      <c r="V487" s="17"/>
      <c r="W487" s="17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  <c r="AO487" s="15"/>
      <c r="AP487" s="15"/>
      <c r="AQ487" s="15"/>
      <c r="AR487" s="15"/>
      <c r="AS487" s="15"/>
      <c r="AT487" s="15"/>
      <c r="AU487" s="15"/>
      <c r="AV487" s="15"/>
      <c r="AW487" s="15"/>
      <c r="AX487" s="15"/>
      <c r="AY487" s="15"/>
      <c r="AZ487" s="15"/>
      <c r="BA487" s="15"/>
      <c r="BB487" s="15"/>
      <c r="BC487" s="15"/>
      <c r="BD487" s="15"/>
      <c r="BE487" s="15"/>
      <c r="BF487" s="15"/>
      <c r="BG487" s="15"/>
      <c r="BH487" s="15"/>
      <c r="BI487" s="15"/>
    </row>
    <row r="488" spans="1:61" ht="15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7"/>
      <c r="O488" s="17"/>
      <c r="P488" s="15"/>
      <c r="Q488" s="15"/>
      <c r="R488" s="15"/>
      <c r="S488" s="15"/>
      <c r="T488" s="15"/>
      <c r="U488" s="15"/>
      <c r="V488" s="17"/>
      <c r="W488" s="17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5"/>
      <c r="AQ488" s="15"/>
      <c r="AR488" s="15"/>
      <c r="AS488" s="15"/>
      <c r="AT488" s="15"/>
      <c r="AU488" s="15"/>
      <c r="AV488" s="15"/>
      <c r="AW488" s="15"/>
      <c r="AX488" s="15"/>
      <c r="AY488" s="15"/>
      <c r="AZ488" s="15"/>
      <c r="BA488" s="15"/>
      <c r="BB488" s="15"/>
      <c r="BC488" s="15"/>
      <c r="BD488" s="15"/>
      <c r="BE488" s="15"/>
      <c r="BF488" s="15"/>
      <c r="BG488" s="15"/>
      <c r="BH488" s="15"/>
      <c r="BI488" s="15"/>
    </row>
    <row r="489" spans="1:61" ht="15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7"/>
      <c r="O489" s="17"/>
      <c r="P489" s="15"/>
      <c r="Q489" s="15"/>
      <c r="R489" s="15"/>
      <c r="S489" s="15"/>
      <c r="T489" s="15"/>
      <c r="U489" s="15"/>
      <c r="V489" s="17"/>
      <c r="W489" s="17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  <c r="AO489" s="15"/>
      <c r="AP489" s="15"/>
      <c r="AQ489" s="15"/>
      <c r="AR489" s="15"/>
      <c r="AS489" s="15"/>
      <c r="AT489" s="15"/>
      <c r="AU489" s="15"/>
      <c r="AV489" s="15"/>
      <c r="AW489" s="15"/>
      <c r="AX489" s="15"/>
      <c r="AY489" s="15"/>
      <c r="AZ489" s="15"/>
      <c r="BA489" s="15"/>
      <c r="BB489" s="15"/>
      <c r="BC489" s="15"/>
      <c r="BD489" s="15"/>
      <c r="BE489" s="15"/>
      <c r="BF489" s="15"/>
      <c r="BG489" s="15"/>
      <c r="BH489" s="15"/>
      <c r="BI489" s="15"/>
    </row>
    <row r="490" spans="1:61" ht="15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7"/>
      <c r="O490" s="17"/>
      <c r="P490" s="15"/>
      <c r="Q490" s="15"/>
      <c r="R490" s="15"/>
      <c r="S490" s="15"/>
      <c r="T490" s="15"/>
      <c r="U490" s="15"/>
      <c r="V490" s="17"/>
      <c r="W490" s="17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  <c r="AO490" s="15"/>
      <c r="AP490" s="15"/>
      <c r="AQ490" s="15"/>
      <c r="AR490" s="15"/>
      <c r="AS490" s="15"/>
      <c r="AT490" s="15"/>
      <c r="AU490" s="15"/>
      <c r="AV490" s="15"/>
      <c r="AW490" s="15"/>
      <c r="AX490" s="15"/>
      <c r="AY490" s="15"/>
      <c r="AZ490" s="15"/>
      <c r="BA490" s="15"/>
      <c r="BB490" s="15"/>
      <c r="BC490" s="15"/>
      <c r="BD490" s="15"/>
      <c r="BE490" s="15"/>
      <c r="BF490" s="15"/>
      <c r="BG490" s="15"/>
      <c r="BH490" s="15"/>
      <c r="BI490" s="15"/>
    </row>
    <row r="491" spans="1:61" ht="15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7"/>
      <c r="O491" s="17"/>
      <c r="P491" s="15"/>
      <c r="Q491" s="15"/>
      <c r="R491" s="15"/>
      <c r="S491" s="15"/>
      <c r="T491" s="15"/>
      <c r="U491" s="15"/>
      <c r="V491" s="17"/>
      <c r="W491" s="17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  <c r="AO491" s="15"/>
      <c r="AP491" s="15"/>
      <c r="AQ491" s="15"/>
      <c r="AR491" s="15"/>
      <c r="AS491" s="15"/>
      <c r="AT491" s="15"/>
      <c r="AU491" s="15"/>
      <c r="AV491" s="15"/>
      <c r="AW491" s="15"/>
      <c r="AX491" s="15"/>
      <c r="AY491" s="15"/>
      <c r="AZ491" s="15"/>
      <c r="BA491" s="15"/>
      <c r="BB491" s="15"/>
      <c r="BC491" s="15"/>
      <c r="BD491" s="15"/>
      <c r="BE491" s="15"/>
      <c r="BF491" s="15"/>
      <c r="BG491" s="15"/>
      <c r="BH491" s="15"/>
      <c r="BI491" s="15"/>
    </row>
    <row r="492" spans="1:61" ht="15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7"/>
      <c r="O492" s="17"/>
      <c r="P492" s="15"/>
      <c r="Q492" s="15"/>
      <c r="R492" s="15"/>
      <c r="S492" s="15"/>
      <c r="T492" s="15"/>
      <c r="U492" s="15"/>
      <c r="V492" s="17"/>
      <c r="W492" s="17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  <c r="AP492" s="15"/>
      <c r="AQ492" s="15"/>
      <c r="AR492" s="15"/>
      <c r="AS492" s="15"/>
      <c r="AT492" s="15"/>
      <c r="AU492" s="15"/>
      <c r="AV492" s="15"/>
      <c r="AW492" s="15"/>
      <c r="AX492" s="15"/>
      <c r="AY492" s="15"/>
      <c r="AZ492" s="15"/>
      <c r="BA492" s="15"/>
      <c r="BB492" s="15"/>
      <c r="BC492" s="15"/>
      <c r="BD492" s="15"/>
      <c r="BE492" s="15"/>
      <c r="BF492" s="15"/>
      <c r="BG492" s="15"/>
      <c r="BH492" s="15"/>
      <c r="BI492" s="15"/>
    </row>
    <row r="493" spans="1:61" ht="15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7"/>
      <c r="O493" s="17"/>
      <c r="P493" s="15"/>
      <c r="Q493" s="15"/>
      <c r="R493" s="15"/>
      <c r="S493" s="15"/>
      <c r="T493" s="15"/>
      <c r="U493" s="15"/>
      <c r="V493" s="17"/>
      <c r="W493" s="17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  <c r="AO493" s="15"/>
      <c r="AP493" s="15"/>
      <c r="AQ493" s="15"/>
      <c r="AR493" s="15"/>
      <c r="AS493" s="15"/>
      <c r="AT493" s="15"/>
      <c r="AU493" s="15"/>
      <c r="AV493" s="15"/>
      <c r="AW493" s="15"/>
      <c r="AX493" s="15"/>
      <c r="AY493" s="15"/>
      <c r="AZ493" s="15"/>
      <c r="BA493" s="15"/>
      <c r="BB493" s="15"/>
      <c r="BC493" s="15"/>
      <c r="BD493" s="15"/>
      <c r="BE493" s="15"/>
      <c r="BF493" s="15"/>
      <c r="BG493" s="15"/>
      <c r="BH493" s="15"/>
      <c r="BI493" s="15"/>
    </row>
    <row r="494" spans="1:61" ht="15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7"/>
      <c r="O494" s="17"/>
      <c r="P494" s="15"/>
      <c r="Q494" s="15"/>
      <c r="R494" s="15"/>
      <c r="S494" s="15"/>
      <c r="T494" s="15"/>
      <c r="U494" s="15"/>
      <c r="V494" s="17"/>
      <c r="W494" s="17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  <c r="AP494" s="15"/>
      <c r="AQ494" s="15"/>
      <c r="AR494" s="15"/>
      <c r="AS494" s="15"/>
      <c r="AT494" s="15"/>
      <c r="AU494" s="15"/>
      <c r="AV494" s="15"/>
      <c r="AW494" s="15"/>
      <c r="AX494" s="15"/>
      <c r="AY494" s="15"/>
      <c r="AZ494" s="15"/>
      <c r="BA494" s="15"/>
      <c r="BB494" s="15"/>
      <c r="BC494" s="15"/>
      <c r="BD494" s="15"/>
      <c r="BE494" s="15"/>
      <c r="BF494" s="15"/>
      <c r="BG494" s="15"/>
      <c r="BH494" s="15"/>
      <c r="BI494" s="15"/>
    </row>
    <row r="495" spans="1:61" ht="15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7"/>
      <c r="O495" s="17"/>
      <c r="P495" s="15"/>
      <c r="Q495" s="15"/>
      <c r="R495" s="15"/>
      <c r="S495" s="15"/>
      <c r="T495" s="15"/>
      <c r="U495" s="15"/>
      <c r="V495" s="17"/>
      <c r="W495" s="17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  <c r="AP495" s="15"/>
      <c r="AQ495" s="15"/>
      <c r="AR495" s="15"/>
      <c r="AS495" s="15"/>
      <c r="AT495" s="15"/>
      <c r="AU495" s="15"/>
      <c r="AV495" s="15"/>
      <c r="AW495" s="15"/>
      <c r="AX495" s="15"/>
      <c r="AY495" s="15"/>
      <c r="AZ495" s="15"/>
      <c r="BA495" s="15"/>
      <c r="BB495" s="15"/>
      <c r="BC495" s="15"/>
      <c r="BD495" s="15"/>
      <c r="BE495" s="15"/>
      <c r="BF495" s="15"/>
      <c r="BG495" s="15"/>
      <c r="BH495" s="15"/>
      <c r="BI495" s="15"/>
    </row>
    <row r="496" spans="1:61" ht="15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7"/>
      <c r="O496" s="17"/>
      <c r="P496" s="15"/>
      <c r="Q496" s="15"/>
      <c r="R496" s="15"/>
      <c r="S496" s="15"/>
      <c r="T496" s="15"/>
      <c r="U496" s="15"/>
      <c r="V496" s="17"/>
      <c r="W496" s="17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  <c r="AP496" s="15"/>
      <c r="AQ496" s="15"/>
      <c r="AR496" s="15"/>
      <c r="AS496" s="15"/>
      <c r="AT496" s="15"/>
      <c r="AU496" s="15"/>
      <c r="AV496" s="15"/>
      <c r="AW496" s="15"/>
      <c r="AX496" s="15"/>
      <c r="AY496" s="15"/>
      <c r="AZ496" s="15"/>
      <c r="BA496" s="15"/>
      <c r="BB496" s="15"/>
      <c r="BC496" s="15"/>
      <c r="BD496" s="15"/>
      <c r="BE496" s="15"/>
      <c r="BF496" s="15"/>
      <c r="BG496" s="15"/>
      <c r="BH496" s="15"/>
      <c r="BI496" s="15"/>
    </row>
    <row r="497" spans="1:61" ht="15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7"/>
      <c r="O497" s="17"/>
      <c r="P497" s="15"/>
      <c r="Q497" s="15"/>
      <c r="R497" s="15"/>
      <c r="S497" s="15"/>
      <c r="T497" s="15"/>
      <c r="U497" s="15"/>
      <c r="V497" s="17"/>
      <c r="W497" s="17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  <c r="AO497" s="15"/>
      <c r="AP497" s="15"/>
      <c r="AQ497" s="15"/>
      <c r="AR497" s="15"/>
      <c r="AS497" s="15"/>
      <c r="AT497" s="15"/>
      <c r="AU497" s="15"/>
      <c r="AV497" s="15"/>
      <c r="AW497" s="15"/>
      <c r="AX497" s="15"/>
      <c r="AY497" s="15"/>
      <c r="AZ497" s="15"/>
      <c r="BA497" s="15"/>
      <c r="BB497" s="15"/>
      <c r="BC497" s="15"/>
      <c r="BD497" s="15"/>
      <c r="BE497" s="15"/>
      <c r="BF497" s="15"/>
      <c r="BG497" s="15"/>
      <c r="BH497" s="15"/>
      <c r="BI497" s="15"/>
    </row>
    <row r="498" spans="1:61" ht="15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7"/>
      <c r="O498" s="17"/>
      <c r="P498" s="15"/>
      <c r="Q498" s="15"/>
      <c r="R498" s="15"/>
      <c r="S498" s="15"/>
      <c r="T498" s="15"/>
      <c r="U498" s="15"/>
      <c r="V498" s="17"/>
      <c r="W498" s="17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  <c r="AO498" s="15"/>
      <c r="AP498" s="15"/>
      <c r="AQ498" s="15"/>
      <c r="AR498" s="15"/>
      <c r="AS498" s="15"/>
      <c r="AT498" s="15"/>
      <c r="AU498" s="15"/>
      <c r="AV498" s="15"/>
      <c r="AW498" s="15"/>
      <c r="AX498" s="15"/>
      <c r="AY498" s="15"/>
      <c r="AZ498" s="15"/>
      <c r="BA498" s="15"/>
      <c r="BB498" s="15"/>
      <c r="BC498" s="15"/>
      <c r="BD498" s="15"/>
      <c r="BE498" s="15"/>
      <c r="BF498" s="15"/>
      <c r="BG498" s="15"/>
      <c r="BH498" s="15"/>
      <c r="BI498" s="15"/>
    </row>
    <row r="499" spans="1:61" ht="15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7"/>
      <c r="O499" s="17"/>
      <c r="P499" s="15"/>
      <c r="Q499" s="15"/>
      <c r="R499" s="15"/>
      <c r="S499" s="15"/>
      <c r="T499" s="15"/>
      <c r="U499" s="15"/>
      <c r="V499" s="17"/>
      <c r="W499" s="17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  <c r="AO499" s="15"/>
      <c r="AP499" s="15"/>
      <c r="AQ499" s="15"/>
      <c r="AR499" s="15"/>
      <c r="AS499" s="15"/>
      <c r="AT499" s="15"/>
      <c r="AU499" s="15"/>
      <c r="AV499" s="15"/>
      <c r="AW499" s="15"/>
      <c r="AX499" s="15"/>
      <c r="AY499" s="15"/>
      <c r="AZ499" s="15"/>
      <c r="BA499" s="15"/>
      <c r="BB499" s="15"/>
      <c r="BC499" s="15"/>
      <c r="BD499" s="15"/>
      <c r="BE499" s="15"/>
      <c r="BF499" s="15"/>
      <c r="BG499" s="15"/>
      <c r="BH499" s="15"/>
      <c r="BI499" s="15"/>
    </row>
    <row r="500" spans="1:61" ht="15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7"/>
      <c r="O500" s="17"/>
      <c r="P500" s="15"/>
      <c r="Q500" s="15"/>
      <c r="R500" s="15"/>
      <c r="S500" s="15"/>
      <c r="T500" s="15"/>
      <c r="U500" s="15"/>
      <c r="V500" s="17"/>
      <c r="W500" s="17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  <c r="AO500" s="15"/>
      <c r="AP500" s="15"/>
      <c r="AQ500" s="15"/>
      <c r="AR500" s="15"/>
      <c r="AS500" s="15"/>
      <c r="AT500" s="15"/>
      <c r="AU500" s="15"/>
      <c r="AV500" s="15"/>
      <c r="AW500" s="15"/>
      <c r="AX500" s="15"/>
      <c r="AY500" s="15"/>
      <c r="AZ500" s="15"/>
      <c r="BA500" s="15"/>
      <c r="BB500" s="15"/>
      <c r="BC500" s="15"/>
      <c r="BD500" s="15"/>
      <c r="BE500" s="15"/>
      <c r="BF500" s="15"/>
      <c r="BG500" s="15"/>
      <c r="BH500" s="15"/>
      <c r="BI500" s="15"/>
    </row>
    <row r="501" spans="1:61" ht="15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7"/>
      <c r="O501" s="17"/>
      <c r="P501" s="15"/>
      <c r="Q501" s="15"/>
      <c r="R501" s="15"/>
      <c r="S501" s="15"/>
      <c r="T501" s="15"/>
      <c r="U501" s="15"/>
      <c r="V501" s="17"/>
      <c r="W501" s="17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  <c r="AN501" s="15"/>
      <c r="AO501" s="15"/>
      <c r="AP501" s="15"/>
      <c r="AQ501" s="15"/>
      <c r="AR501" s="15"/>
      <c r="AS501" s="15"/>
      <c r="AT501" s="15"/>
      <c r="AU501" s="15"/>
      <c r="AV501" s="15"/>
      <c r="AW501" s="15"/>
      <c r="AX501" s="15"/>
      <c r="AY501" s="15"/>
      <c r="AZ501" s="15"/>
      <c r="BA501" s="15"/>
      <c r="BB501" s="15"/>
      <c r="BC501" s="15"/>
      <c r="BD501" s="15"/>
      <c r="BE501" s="15"/>
      <c r="BF501" s="15"/>
      <c r="BG501" s="15"/>
      <c r="BH501" s="15"/>
      <c r="BI501" s="15"/>
    </row>
    <row r="502" spans="1:61" ht="15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7"/>
      <c r="O502" s="17"/>
      <c r="P502" s="15"/>
      <c r="Q502" s="15"/>
      <c r="R502" s="15"/>
      <c r="S502" s="15"/>
      <c r="T502" s="15"/>
      <c r="U502" s="15"/>
      <c r="V502" s="17"/>
      <c r="W502" s="17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  <c r="AO502" s="15"/>
      <c r="AP502" s="15"/>
      <c r="AQ502" s="15"/>
      <c r="AR502" s="15"/>
      <c r="AS502" s="15"/>
      <c r="AT502" s="15"/>
      <c r="AU502" s="15"/>
      <c r="AV502" s="15"/>
      <c r="AW502" s="15"/>
      <c r="AX502" s="15"/>
      <c r="AY502" s="15"/>
      <c r="AZ502" s="15"/>
      <c r="BA502" s="15"/>
      <c r="BB502" s="15"/>
      <c r="BC502" s="15"/>
      <c r="BD502" s="15"/>
      <c r="BE502" s="15"/>
      <c r="BF502" s="15"/>
      <c r="BG502" s="15"/>
      <c r="BH502" s="15"/>
      <c r="BI502" s="15"/>
    </row>
    <row r="503" spans="1:61" ht="15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7"/>
      <c r="O503" s="17"/>
      <c r="P503" s="15"/>
      <c r="Q503" s="15"/>
      <c r="R503" s="15"/>
      <c r="S503" s="15"/>
      <c r="T503" s="15"/>
      <c r="U503" s="15"/>
      <c r="V503" s="17"/>
      <c r="W503" s="17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  <c r="AN503" s="15"/>
      <c r="AO503" s="15"/>
      <c r="AP503" s="15"/>
      <c r="AQ503" s="15"/>
      <c r="AR503" s="15"/>
      <c r="AS503" s="15"/>
      <c r="AT503" s="15"/>
      <c r="AU503" s="15"/>
      <c r="AV503" s="15"/>
      <c r="AW503" s="15"/>
      <c r="AX503" s="15"/>
      <c r="AY503" s="15"/>
      <c r="AZ503" s="15"/>
      <c r="BA503" s="15"/>
      <c r="BB503" s="15"/>
      <c r="BC503" s="15"/>
      <c r="BD503" s="15"/>
      <c r="BE503" s="15"/>
      <c r="BF503" s="15"/>
      <c r="BG503" s="15"/>
      <c r="BH503" s="15"/>
      <c r="BI503" s="15"/>
    </row>
    <row r="504" spans="1:61" ht="15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7"/>
      <c r="O504" s="17"/>
      <c r="P504" s="15"/>
      <c r="Q504" s="15"/>
      <c r="R504" s="15"/>
      <c r="S504" s="15"/>
      <c r="T504" s="15"/>
      <c r="U504" s="15"/>
      <c r="V504" s="17"/>
      <c r="W504" s="17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  <c r="AN504" s="15"/>
      <c r="AO504" s="15"/>
      <c r="AP504" s="15"/>
      <c r="AQ504" s="15"/>
      <c r="AR504" s="15"/>
      <c r="AS504" s="15"/>
      <c r="AT504" s="15"/>
      <c r="AU504" s="15"/>
      <c r="AV504" s="15"/>
      <c r="AW504" s="15"/>
      <c r="AX504" s="15"/>
      <c r="AY504" s="15"/>
      <c r="AZ504" s="15"/>
      <c r="BA504" s="15"/>
      <c r="BB504" s="15"/>
      <c r="BC504" s="15"/>
      <c r="BD504" s="15"/>
      <c r="BE504" s="15"/>
      <c r="BF504" s="15"/>
      <c r="BG504" s="15"/>
      <c r="BH504" s="15"/>
      <c r="BI504" s="15"/>
    </row>
    <row r="505" spans="1:61" ht="15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7"/>
      <c r="O505" s="17"/>
      <c r="P505" s="15"/>
      <c r="Q505" s="15"/>
      <c r="R505" s="15"/>
      <c r="S505" s="15"/>
      <c r="T505" s="15"/>
      <c r="U505" s="15"/>
      <c r="V505" s="17"/>
      <c r="W505" s="17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  <c r="AM505" s="15"/>
      <c r="AN505" s="15"/>
      <c r="AO505" s="15"/>
      <c r="AP505" s="15"/>
      <c r="AQ505" s="15"/>
      <c r="AR505" s="15"/>
      <c r="AS505" s="15"/>
      <c r="AT505" s="15"/>
      <c r="AU505" s="15"/>
      <c r="AV505" s="15"/>
      <c r="AW505" s="15"/>
      <c r="AX505" s="15"/>
      <c r="AY505" s="15"/>
      <c r="AZ505" s="15"/>
      <c r="BA505" s="15"/>
      <c r="BB505" s="15"/>
      <c r="BC505" s="15"/>
      <c r="BD505" s="15"/>
      <c r="BE505" s="15"/>
      <c r="BF505" s="15"/>
      <c r="BG505" s="15"/>
      <c r="BH505" s="15"/>
      <c r="BI505" s="15"/>
    </row>
    <row r="506" spans="1:61" ht="15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7"/>
      <c r="O506" s="17"/>
      <c r="P506" s="15"/>
      <c r="Q506" s="15"/>
      <c r="R506" s="15"/>
      <c r="S506" s="15"/>
      <c r="T506" s="15"/>
      <c r="U506" s="15"/>
      <c r="V506" s="17"/>
      <c r="W506" s="17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  <c r="AN506" s="15"/>
      <c r="AO506" s="15"/>
      <c r="AP506" s="15"/>
      <c r="AQ506" s="15"/>
      <c r="AR506" s="15"/>
      <c r="AS506" s="15"/>
      <c r="AT506" s="15"/>
      <c r="AU506" s="15"/>
      <c r="AV506" s="15"/>
      <c r="AW506" s="15"/>
      <c r="AX506" s="15"/>
      <c r="AY506" s="15"/>
      <c r="AZ506" s="15"/>
      <c r="BA506" s="15"/>
      <c r="BB506" s="15"/>
      <c r="BC506" s="15"/>
      <c r="BD506" s="15"/>
      <c r="BE506" s="15"/>
      <c r="BF506" s="15"/>
      <c r="BG506" s="15"/>
      <c r="BH506" s="15"/>
      <c r="BI506" s="15"/>
    </row>
    <row r="507" spans="1:61" ht="15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7"/>
      <c r="O507" s="17"/>
      <c r="P507" s="15"/>
      <c r="Q507" s="15"/>
      <c r="R507" s="15"/>
      <c r="S507" s="15"/>
      <c r="T507" s="15"/>
      <c r="U507" s="15"/>
      <c r="V507" s="17"/>
      <c r="W507" s="17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  <c r="AM507" s="15"/>
      <c r="AN507" s="15"/>
      <c r="AO507" s="15"/>
      <c r="AP507" s="15"/>
      <c r="AQ507" s="15"/>
      <c r="AR507" s="15"/>
      <c r="AS507" s="15"/>
      <c r="AT507" s="15"/>
      <c r="AU507" s="15"/>
      <c r="AV507" s="15"/>
      <c r="AW507" s="15"/>
      <c r="AX507" s="15"/>
      <c r="AY507" s="15"/>
      <c r="AZ507" s="15"/>
      <c r="BA507" s="15"/>
      <c r="BB507" s="15"/>
      <c r="BC507" s="15"/>
      <c r="BD507" s="15"/>
      <c r="BE507" s="15"/>
      <c r="BF507" s="15"/>
      <c r="BG507" s="15"/>
      <c r="BH507" s="15"/>
      <c r="BI507" s="15"/>
    </row>
    <row r="508" spans="1:61" ht="15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7"/>
      <c r="O508" s="17"/>
      <c r="P508" s="15"/>
      <c r="Q508" s="15"/>
      <c r="R508" s="15"/>
      <c r="S508" s="15"/>
      <c r="T508" s="15"/>
      <c r="U508" s="15"/>
      <c r="V508" s="17"/>
      <c r="W508" s="17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15"/>
      <c r="AO508" s="15"/>
      <c r="AP508" s="15"/>
      <c r="AQ508" s="15"/>
      <c r="AR508" s="15"/>
      <c r="AS508" s="15"/>
      <c r="AT508" s="15"/>
      <c r="AU508" s="15"/>
      <c r="AV508" s="15"/>
      <c r="AW508" s="15"/>
      <c r="AX508" s="15"/>
      <c r="AY508" s="15"/>
      <c r="AZ508" s="15"/>
      <c r="BA508" s="15"/>
      <c r="BB508" s="15"/>
      <c r="BC508" s="15"/>
      <c r="BD508" s="15"/>
      <c r="BE508" s="15"/>
      <c r="BF508" s="15"/>
      <c r="BG508" s="15"/>
      <c r="BH508" s="15"/>
      <c r="BI508" s="15"/>
    </row>
    <row r="509" spans="1:61" ht="15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7"/>
      <c r="O509" s="17"/>
      <c r="P509" s="15"/>
      <c r="Q509" s="15"/>
      <c r="R509" s="15"/>
      <c r="S509" s="15"/>
      <c r="T509" s="15"/>
      <c r="U509" s="15"/>
      <c r="V509" s="17"/>
      <c r="W509" s="17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  <c r="AM509" s="15"/>
      <c r="AN509" s="15"/>
      <c r="AO509" s="15"/>
      <c r="AP509" s="15"/>
      <c r="AQ509" s="15"/>
      <c r="AR509" s="15"/>
      <c r="AS509" s="15"/>
      <c r="AT509" s="15"/>
      <c r="AU509" s="15"/>
      <c r="AV509" s="15"/>
      <c r="AW509" s="15"/>
      <c r="AX509" s="15"/>
      <c r="AY509" s="15"/>
      <c r="AZ509" s="15"/>
      <c r="BA509" s="15"/>
      <c r="BB509" s="15"/>
      <c r="BC509" s="15"/>
      <c r="BD509" s="15"/>
      <c r="BE509" s="15"/>
      <c r="BF509" s="15"/>
      <c r="BG509" s="15"/>
      <c r="BH509" s="15"/>
      <c r="BI509" s="15"/>
    </row>
    <row r="510" spans="1:61" ht="15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7"/>
      <c r="O510" s="17"/>
      <c r="P510" s="15"/>
      <c r="Q510" s="15"/>
      <c r="R510" s="15"/>
      <c r="S510" s="15"/>
      <c r="T510" s="15"/>
      <c r="U510" s="15"/>
      <c r="V510" s="17"/>
      <c r="W510" s="17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  <c r="AO510" s="15"/>
      <c r="AP510" s="15"/>
      <c r="AQ510" s="15"/>
      <c r="AR510" s="15"/>
      <c r="AS510" s="15"/>
      <c r="AT510" s="15"/>
      <c r="AU510" s="15"/>
      <c r="AV510" s="15"/>
      <c r="AW510" s="15"/>
      <c r="AX510" s="15"/>
      <c r="AY510" s="15"/>
      <c r="AZ510" s="15"/>
      <c r="BA510" s="15"/>
      <c r="BB510" s="15"/>
      <c r="BC510" s="15"/>
      <c r="BD510" s="15"/>
      <c r="BE510" s="15"/>
      <c r="BF510" s="15"/>
      <c r="BG510" s="15"/>
      <c r="BH510" s="15"/>
      <c r="BI510" s="15"/>
    </row>
    <row r="511" spans="1:61" ht="15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7"/>
      <c r="O511" s="17"/>
      <c r="P511" s="15"/>
      <c r="Q511" s="15"/>
      <c r="R511" s="15"/>
      <c r="S511" s="15"/>
      <c r="T511" s="15"/>
      <c r="U511" s="15"/>
      <c r="V511" s="17"/>
      <c r="W511" s="17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  <c r="AM511" s="15"/>
      <c r="AN511" s="15"/>
      <c r="AO511" s="15"/>
      <c r="AP511" s="15"/>
      <c r="AQ511" s="15"/>
      <c r="AR511" s="15"/>
      <c r="AS511" s="15"/>
      <c r="AT511" s="15"/>
      <c r="AU511" s="15"/>
      <c r="AV511" s="15"/>
      <c r="AW511" s="15"/>
      <c r="AX511" s="15"/>
      <c r="AY511" s="15"/>
      <c r="AZ511" s="15"/>
      <c r="BA511" s="15"/>
      <c r="BB511" s="15"/>
      <c r="BC511" s="15"/>
      <c r="BD511" s="15"/>
      <c r="BE511" s="15"/>
      <c r="BF511" s="15"/>
      <c r="BG511" s="15"/>
      <c r="BH511" s="15"/>
      <c r="BI511" s="15"/>
    </row>
    <row r="512" spans="1:61" ht="15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7"/>
      <c r="O512" s="17"/>
      <c r="P512" s="15"/>
      <c r="Q512" s="15"/>
      <c r="R512" s="15"/>
      <c r="S512" s="15"/>
      <c r="T512" s="15"/>
      <c r="U512" s="15"/>
      <c r="V512" s="17"/>
      <c r="W512" s="17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  <c r="AN512" s="15"/>
      <c r="AO512" s="15"/>
      <c r="AP512" s="15"/>
      <c r="AQ512" s="15"/>
      <c r="AR512" s="15"/>
      <c r="AS512" s="15"/>
      <c r="AT512" s="15"/>
      <c r="AU512" s="15"/>
      <c r="AV512" s="15"/>
      <c r="AW512" s="15"/>
      <c r="AX512" s="15"/>
      <c r="AY512" s="15"/>
      <c r="AZ512" s="15"/>
      <c r="BA512" s="15"/>
      <c r="BB512" s="15"/>
      <c r="BC512" s="15"/>
      <c r="BD512" s="15"/>
      <c r="BE512" s="15"/>
      <c r="BF512" s="15"/>
      <c r="BG512" s="15"/>
      <c r="BH512" s="15"/>
      <c r="BI512" s="15"/>
    </row>
    <row r="513" spans="1:61" ht="15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7"/>
      <c r="O513" s="17"/>
      <c r="P513" s="15"/>
      <c r="Q513" s="15"/>
      <c r="R513" s="15"/>
      <c r="S513" s="15"/>
      <c r="T513" s="15"/>
      <c r="U513" s="15"/>
      <c r="V513" s="17"/>
      <c r="W513" s="17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  <c r="AM513" s="15"/>
      <c r="AN513" s="15"/>
      <c r="AO513" s="15"/>
      <c r="AP513" s="15"/>
      <c r="AQ513" s="15"/>
      <c r="AR513" s="15"/>
      <c r="AS513" s="15"/>
      <c r="AT513" s="15"/>
      <c r="AU513" s="15"/>
      <c r="AV513" s="15"/>
      <c r="AW513" s="15"/>
      <c r="AX513" s="15"/>
      <c r="AY513" s="15"/>
      <c r="AZ513" s="15"/>
      <c r="BA513" s="15"/>
      <c r="BB513" s="15"/>
      <c r="BC513" s="15"/>
      <c r="BD513" s="15"/>
      <c r="BE513" s="15"/>
      <c r="BF513" s="15"/>
      <c r="BG513" s="15"/>
      <c r="BH513" s="15"/>
      <c r="BI513" s="15"/>
    </row>
    <row r="514" spans="1:61" ht="15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7"/>
      <c r="O514" s="17"/>
      <c r="P514" s="15"/>
      <c r="Q514" s="15"/>
      <c r="R514" s="15"/>
      <c r="S514" s="15"/>
      <c r="T514" s="15"/>
      <c r="U514" s="15"/>
      <c r="V514" s="17"/>
      <c r="W514" s="17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  <c r="AO514" s="15"/>
      <c r="AP514" s="15"/>
      <c r="AQ514" s="15"/>
      <c r="AR514" s="15"/>
      <c r="AS514" s="15"/>
      <c r="AT514" s="15"/>
      <c r="AU514" s="15"/>
      <c r="AV514" s="15"/>
      <c r="AW514" s="15"/>
      <c r="AX514" s="15"/>
      <c r="AY514" s="15"/>
      <c r="AZ514" s="15"/>
      <c r="BA514" s="15"/>
      <c r="BB514" s="15"/>
      <c r="BC514" s="15"/>
      <c r="BD514" s="15"/>
      <c r="BE514" s="15"/>
      <c r="BF514" s="15"/>
      <c r="BG514" s="15"/>
      <c r="BH514" s="15"/>
      <c r="BI514" s="15"/>
    </row>
    <row r="515" spans="1:61" ht="15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7"/>
      <c r="O515" s="17"/>
      <c r="P515" s="15"/>
      <c r="Q515" s="15"/>
      <c r="R515" s="15"/>
      <c r="S515" s="15"/>
      <c r="T515" s="15"/>
      <c r="U515" s="15"/>
      <c r="V515" s="17"/>
      <c r="W515" s="17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  <c r="AM515" s="15"/>
      <c r="AN515" s="15"/>
      <c r="AO515" s="15"/>
      <c r="AP515" s="15"/>
      <c r="AQ515" s="15"/>
      <c r="AR515" s="15"/>
      <c r="AS515" s="15"/>
      <c r="AT515" s="15"/>
      <c r="AU515" s="15"/>
      <c r="AV515" s="15"/>
      <c r="AW515" s="15"/>
      <c r="AX515" s="15"/>
      <c r="AY515" s="15"/>
      <c r="AZ515" s="15"/>
      <c r="BA515" s="15"/>
      <c r="BB515" s="15"/>
      <c r="BC515" s="15"/>
      <c r="BD515" s="15"/>
      <c r="BE515" s="15"/>
      <c r="BF515" s="15"/>
      <c r="BG515" s="15"/>
      <c r="BH515" s="15"/>
      <c r="BI515" s="15"/>
    </row>
    <row r="516" spans="1:61" ht="15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7"/>
      <c r="O516" s="17"/>
      <c r="P516" s="15"/>
      <c r="Q516" s="15"/>
      <c r="R516" s="15"/>
      <c r="S516" s="15"/>
      <c r="T516" s="15"/>
      <c r="U516" s="15"/>
      <c r="V516" s="17"/>
      <c r="W516" s="17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  <c r="AN516" s="15"/>
      <c r="AO516" s="15"/>
      <c r="AP516" s="15"/>
      <c r="AQ516" s="15"/>
      <c r="AR516" s="15"/>
      <c r="AS516" s="15"/>
      <c r="AT516" s="15"/>
      <c r="AU516" s="15"/>
      <c r="AV516" s="15"/>
      <c r="AW516" s="15"/>
      <c r="AX516" s="15"/>
      <c r="AY516" s="15"/>
      <c r="AZ516" s="15"/>
      <c r="BA516" s="15"/>
      <c r="BB516" s="15"/>
      <c r="BC516" s="15"/>
      <c r="BD516" s="15"/>
      <c r="BE516" s="15"/>
      <c r="BF516" s="15"/>
      <c r="BG516" s="15"/>
      <c r="BH516" s="15"/>
      <c r="BI516" s="15"/>
    </row>
    <row r="517" spans="1:61" ht="15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7"/>
      <c r="O517" s="17"/>
      <c r="P517" s="15"/>
      <c r="Q517" s="15"/>
      <c r="R517" s="15"/>
      <c r="S517" s="15"/>
      <c r="T517" s="15"/>
      <c r="U517" s="15"/>
      <c r="V517" s="17"/>
      <c r="W517" s="17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  <c r="AM517" s="15"/>
      <c r="AN517" s="15"/>
      <c r="AO517" s="15"/>
      <c r="AP517" s="15"/>
      <c r="AQ517" s="15"/>
      <c r="AR517" s="15"/>
      <c r="AS517" s="15"/>
      <c r="AT517" s="15"/>
      <c r="AU517" s="15"/>
      <c r="AV517" s="15"/>
      <c r="AW517" s="15"/>
      <c r="AX517" s="15"/>
      <c r="AY517" s="15"/>
      <c r="AZ517" s="15"/>
      <c r="BA517" s="15"/>
      <c r="BB517" s="15"/>
      <c r="BC517" s="15"/>
      <c r="BD517" s="15"/>
      <c r="BE517" s="15"/>
      <c r="BF517" s="15"/>
      <c r="BG517" s="15"/>
      <c r="BH517" s="15"/>
      <c r="BI517" s="15"/>
    </row>
    <row r="518" spans="1:61" ht="15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7"/>
      <c r="O518" s="17"/>
      <c r="P518" s="15"/>
      <c r="Q518" s="15"/>
      <c r="R518" s="15"/>
      <c r="S518" s="15"/>
      <c r="T518" s="15"/>
      <c r="U518" s="15"/>
      <c r="V518" s="17"/>
      <c r="W518" s="17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  <c r="AO518" s="15"/>
      <c r="AP518" s="15"/>
      <c r="AQ518" s="15"/>
      <c r="AR518" s="15"/>
      <c r="AS518" s="15"/>
      <c r="AT518" s="15"/>
      <c r="AU518" s="15"/>
      <c r="AV518" s="15"/>
      <c r="AW518" s="15"/>
      <c r="AX518" s="15"/>
      <c r="AY518" s="15"/>
      <c r="AZ518" s="15"/>
      <c r="BA518" s="15"/>
      <c r="BB518" s="15"/>
      <c r="BC518" s="15"/>
      <c r="BD518" s="15"/>
      <c r="BE518" s="15"/>
      <c r="BF518" s="15"/>
      <c r="BG518" s="15"/>
      <c r="BH518" s="15"/>
      <c r="BI518" s="15"/>
    </row>
    <row r="519" spans="1:61" ht="15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7"/>
      <c r="O519" s="17"/>
      <c r="P519" s="15"/>
      <c r="Q519" s="15"/>
      <c r="R519" s="15"/>
      <c r="S519" s="15"/>
      <c r="T519" s="15"/>
      <c r="U519" s="15"/>
      <c r="V519" s="17"/>
      <c r="W519" s="17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  <c r="AM519" s="15"/>
      <c r="AN519" s="15"/>
      <c r="AO519" s="15"/>
      <c r="AP519" s="15"/>
      <c r="AQ519" s="15"/>
      <c r="AR519" s="15"/>
      <c r="AS519" s="15"/>
      <c r="AT519" s="15"/>
      <c r="AU519" s="15"/>
      <c r="AV519" s="15"/>
      <c r="AW519" s="15"/>
      <c r="AX519" s="15"/>
      <c r="AY519" s="15"/>
      <c r="AZ519" s="15"/>
      <c r="BA519" s="15"/>
      <c r="BB519" s="15"/>
      <c r="BC519" s="15"/>
      <c r="BD519" s="15"/>
      <c r="BE519" s="15"/>
      <c r="BF519" s="15"/>
      <c r="BG519" s="15"/>
      <c r="BH519" s="15"/>
      <c r="BI519" s="15"/>
    </row>
    <row r="520" spans="1:61" ht="15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7"/>
      <c r="O520" s="17"/>
      <c r="P520" s="15"/>
      <c r="Q520" s="15"/>
      <c r="R520" s="15"/>
      <c r="S520" s="15"/>
      <c r="T520" s="15"/>
      <c r="U520" s="15"/>
      <c r="V520" s="17"/>
      <c r="W520" s="17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  <c r="AN520" s="15"/>
      <c r="AO520" s="15"/>
      <c r="AP520" s="15"/>
      <c r="AQ520" s="15"/>
      <c r="AR520" s="15"/>
      <c r="AS520" s="15"/>
      <c r="AT520" s="15"/>
      <c r="AU520" s="15"/>
      <c r="AV520" s="15"/>
      <c r="AW520" s="15"/>
      <c r="AX520" s="15"/>
      <c r="AY520" s="15"/>
      <c r="AZ520" s="15"/>
      <c r="BA520" s="15"/>
      <c r="BB520" s="15"/>
      <c r="BC520" s="15"/>
      <c r="BD520" s="15"/>
      <c r="BE520" s="15"/>
      <c r="BF520" s="15"/>
      <c r="BG520" s="15"/>
      <c r="BH520" s="15"/>
      <c r="BI520" s="15"/>
    </row>
    <row r="521" spans="1:61" ht="15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7"/>
      <c r="O521" s="17"/>
      <c r="P521" s="15"/>
      <c r="Q521" s="15"/>
      <c r="R521" s="15"/>
      <c r="S521" s="15"/>
      <c r="T521" s="15"/>
      <c r="U521" s="15"/>
      <c r="V521" s="17"/>
      <c r="W521" s="17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  <c r="AM521" s="15"/>
      <c r="AN521" s="15"/>
      <c r="AO521" s="15"/>
      <c r="AP521" s="15"/>
      <c r="AQ521" s="15"/>
      <c r="AR521" s="15"/>
      <c r="AS521" s="15"/>
      <c r="AT521" s="15"/>
      <c r="AU521" s="15"/>
      <c r="AV521" s="15"/>
      <c r="AW521" s="15"/>
      <c r="AX521" s="15"/>
      <c r="AY521" s="15"/>
      <c r="AZ521" s="15"/>
      <c r="BA521" s="15"/>
      <c r="BB521" s="15"/>
      <c r="BC521" s="15"/>
      <c r="BD521" s="15"/>
      <c r="BE521" s="15"/>
      <c r="BF521" s="15"/>
      <c r="BG521" s="15"/>
      <c r="BH521" s="15"/>
      <c r="BI521" s="15"/>
    </row>
    <row r="522" spans="1:61" ht="15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7"/>
      <c r="O522" s="17"/>
      <c r="P522" s="15"/>
      <c r="Q522" s="15"/>
      <c r="R522" s="15"/>
      <c r="S522" s="15"/>
      <c r="T522" s="15"/>
      <c r="U522" s="15"/>
      <c r="V522" s="17"/>
      <c r="W522" s="17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  <c r="AM522" s="15"/>
      <c r="AN522" s="15"/>
      <c r="AO522" s="15"/>
      <c r="AP522" s="15"/>
      <c r="AQ522" s="15"/>
      <c r="AR522" s="15"/>
      <c r="AS522" s="15"/>
      <c r="AT522" s="15"/>
      <c r="AU522" s="15"/>
      <c r="AV522" s="15"/>
      <c r="AW522" s="15"/>
      <c r="AX522" s="15"/>
      <c r="AY522" s="15"/>
      <c r="AZ522" s="15"/>
      <c r="BA522" s="15"/>
      <c r="BB522" s="15"/>
      <c r="BC522" s="15"/>
      <c r="BD522" s="15"/>
      <c r="BE522" s="15"/>
      <c r="BF522" s="15"/>
      <c r="BG522" s="15"/>
      <c r="BH522" s="15"/>
      <c r="BI522" s="15"/>
    </row>
    <row r="523" spans="1:61" ht="15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7"/>
      <c r="O523" s="17"/>
      <c r="P523" s="15"/>
      <c r="Q523" s="15"/>
      <c r="R523" s="15"/>
      <c r="S523" s="15"/>
      <c r="T523" s="15"/>
      <c r="U523" s="15"/>
      <c r="V523" s="17"/>
      <c r="W523" s="17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  <c r="AM523" s="15"/>
      <c r="AN523" s="15"/>
      <c r="AO523" s="15"/>
      <c r="AP523" s="15"/>
      <c r="AQ523" s="15"/>
      <c r="AR523" s="15"/>
      <c r="AS523" s="15"/>
      <c r="AT523" s="15"/>
      <c r="AU523" s="15"/>
      <c r="AV523" s="15"/>
      <c r="AW523" s="15"/>
      <c r="AX523" s="15"/>
      <c r="AY523" s="15"/>
      <c r="AZ523" s="15"/>
      <c r="BA523" s="15"/>
      <c r="BB523" s="15"/>
      <c r="BC523" s="15"/>
      <c r="BD523" s="15"/>
      <c r="BE523" s="15"/>
      <c r="BF523" s="15"/>
      <c r="BG523" s="15"/>
      <c r="BH523" s="15"/>
      <c r="BI523" s="15"/>
    </row>
    <row r="524" spans="1:61" ht="15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7"/>
      <c r="O524" s="17"/>
      <c r="P524" s="15"/>
      <c r="Q524" s="15"/>
      <c r="R524" s="15"/>
      <c r="S524" s="15"/>
      <c r="T524" s="15"/>
      <c r="U524" s="15"/>
      <c r="V524" s="17"/>
      <c r="W524" s="17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  <c r="AO524" s="15"/>
      <c r="AP524" s="15"/>
      <c r="AQ524" s="15"/>
      <c r="AR524" s="15"/>
      <c r="AS524" s="15"/>
      <c r="AT524" s="15"/>
      <c r="AU524" s="15"/>
      <c r="AV524" s="15"/>
      <c r="AW524" s="15"/>
      <c r="AX524" s="15"/>
      <c r="AY524" s="15"/>
      <c r="AZ524" s="15"/>
      <c r="BA524" s="15"/>
      <c r="BB524" s="15"/>
      <c r="BC524" s="15"/>
      <c r="BD524" s="15"/>
      <c r="BE524" s="15"/>
      <c r="BF524" s="15"/>
      <c r="BG524" s="15"/>
      <c r="BH524" s="15"/>
      <c r="BI524" s="15"/>
    </row>
    <row r="525" spans="1:61" ht="15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7"/>
      <c r="O525" s="17"/>
      <c r="P525" s="15"/>
      <c r="Q525" s="15"/>
      <c r="R525" s="15"/>
      <c r="S525" s="15"/>
      <c r="T525" s="15"/>
      <c r="U525" s="15"/>
      <c r="V525" s="17"/>
      <c r="W525" s="17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  <c r="AM525" s="15"/>
      <c r="AN525" s="15"/>
      <c r="AO525" s="15"/>
      <c r="AP525" s="15"/>
      <c r="AQ525" s="15"/>
      <c r="AR525" s="15"/>
      <c r="AS525" s="15"/>
      <c r="AT525" s="15"/>
      <c r="AU525" s="15"/>
      <c r="AV525" s="15"/>
      <c r="AW525" s="15"/>
      <c r="AX525" s="15"/>
      <c r="AY525" s="15"/>
      <c r="AZ525" s="15"/>
      <c r="BA525" s="15"/>
      <c r="BB525" s="15"/>
      <c r="BC525" s="15"/>
      <c r="BD525" s="15"/>
      <c r="BE525" s="15"/>
      <c r="BF525" s="15"/>
      <c r="BG525" s="15"/>
      <c r="BH525" s="15"/>
      <c r="BI525" s="15"/>
    </row>
    <row r="526" spans="1:61" ht="15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7"/>
      <c r="O526" s="17"/>
      <c r="P526" s="15"/>
      <c r="Q526" s="15"/>
      <c r="R526" s="15"/>
      <c r="S526" s="15"/>
      <c r="T526" s="15"/>
      <c r="U526" s="15"/>
      <c r="V526" s="17"/>
      <c r="W526" s="17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  <c r="AO526" s="15"/>
      <c r="AP526" s="15"/>
      <c r="AQ526" s="15"/>
      <c r="AR526" s="15"/>
      <c r="AS526" s="15"/>
      <c r="AT526" s="15"/>
      <c r="AU526" s="15"/>
      <c r="AV526" s="15"/>
      <c r="AW526" s="15"/>
      <c r="AX526" s="15"/>
      <c r="AY526" s="15"/>
      <c r="AZ526" s="15"/>
      <c r="BA526" s="15"/>
      <c r="BB526" s="15"/>
      <c r="BC526" s="15"/>
      <c r="BD526" s="15"/>
      <c r="BE526" s="15"/>
      <c r="BF526" s="15"/>
      <c r="BG526" s="15"/>
      <c r="BH526" s="15"/>
      <c r="BI526" s="15"/>
    </row>
    <row r="527" spans="1:61" ht="15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7"/>
      <c r="O527" s="17"/>
      <c r="P527" s="15"/>
      <c r="Q527" s="15"/>
      <c r="R527" s="15"/>
      <c r="S527" s="15"/>
      <c r="T527" s="15"/>
      <c r="U527" s="15"/>
      <c r="V527" s="17"/>
      <c r="W527" s="17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  <c r="AM527" s="15"/>
      <c r="AN527" s="15"/>
      <c r="AO527" s="15"/>
      <c r="AP527" s="15"/>
      <c r="AQ527" s="15"/>
      <c r="AR527" s="15"/>
      <c r="AS527" s="15"/>
      <c r="AT527" s="15"/>
      <c r="AU527" s="15"/>
      <c r="AV527" s="15"/>
      <c r="AW527" s="15"/>
      <c r="AX527" s="15"/>
      <c r="AY527" s="15"/>
      <c r="AZ527" s="15"/>
      <c r="BA527" s="15"/>
      <c r="BB527" s="15"/>
      <c r="BC527" s="15"/>
      <c r="BD527" s="15"/>
      <c r="BE527" s="15"/>
      <c r="BF527" s="15"/>
      <c r="BG527" s="15"/>
      <c r="BH527" s="15"/>
      <c r="BI527" s="15"/>
    </row>
    <row r="528" spans="1:61" ht="15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7"/>
      <c r="O528" s="17"/>
      <c r="P528" s="15"/>
      <c r="Q528" s="15"/>
      <c r="R528" s="15"/>
      <c r="S528" s="15"/>
      <c r="T528" s="15"/>
      <c r="U528" s="15"/>
      <c r="V528" s="17"/>
      <c r="W528" s="17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  <c r="AO528" s="15"/>
      <c r="AP528" s="15"/>
      <c r="AQ528" s="15"/>
      <c r="AR528" s="15"/>
      <c r="AS528" s="15"/>
      <c r="AT528" s="15"/>
      <c r="AU528" s="15"/>
      <c r="AV528" s="15"/>
      <c r="AW528" s="15"/>
      <c r="AX528" s="15"/>
      <c r="AY528" s="15"/>
      <c r="AZ528" s="15"/>
      <c r="BA528" s="15"/>
      <c r="BB528" s="15"/>
      <c r="BC528" s="15"/>
      <c r="BD528" s="15"/>
      <c r="BE528" s="15"/>
      <c r="BF528" s="15"/>
      <c r="BG528" s="15"/>
      <c r="BH528" s="15"/>
      <c r="BI528" s="15"/>
    </row>
    <row r="529" spans="1:61" ht="15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7"/>
      <c r="O529" s="17"/>
      <c r="P529" s="15"/>
      <c r="Q529" s="15"/>
      <c r="R529" s="15"/>
      <c r="S529" s="15"/>
      <c r="T529" s="15"/>
      <c r="U529" s="15"/>
      <c r="V529" s="17"/>
      <c r="W529" s="17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  <c r="AO529" s="15"/>
      <c r="AP529" s="15"/>
      <c r="AQ529" s="15"/>
      <c r="AR529" s="15"/>
      <c r="AS529" s="15"/>
      <c r="AT529" s="15"/>
      <c r="AU529" s="15"/>
      <c r="AV529" s="15"/>
      <c r="AW529" s="15"/>
      <c r="AX529" s="15"/>
      <c r="AY529" s="15"/>
      <c r="AZ529" s="15"/>
      <c r="BA529" s="15"/>
      <c r="BB529" s="15"/>
      <c r="BC529" s="15"/>
      <c r="BD529" s="15"/>
      <c r="BE529" s="15"/>
      <c r="BF529" s="15"/>
      <c r="BG529" s="15"/>
      <c r="BH529" s="15"/>
      <c r="BI529" s="15"/>
    </row>
    <row r="530" spans="1:61" ht="15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7"/>
      <c r="O530" s="17"/>
      <c r="P530" s="15"/>
      <c r="Q530" s="15"/>
      <c r="R530" s="15"/>
      <c r="S530" s="15"/>
      <c r="T530" s="15"/>
      <c r="U530" s="15"/>
      <c r="V530" s="17"/>
      <c r="W530" s="17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  <c r="AO530" s="15"/>
      <c r="AP530" s="15"/>
      <c r="AQ530" s="15"/>
      <c r="AR530" s="15"/>
      <c r="AS530" s="15"/>
      <c r="AT530" s="15"/>
      <c r="AU530" s="15"/>
      <c r="AV530" s="15"/>
      <c r="AW530" s="15"/>
      <c r="AX530" s="15"/>
      <c r="AY530" s="15"/>
      <c r="AZ530" s="15"/>
      <c r="BA530" s="15"/>
      <c r="BB530" s="15"/>
      <c r="BC530" s="15"/>
      <c r="BD530" s="15"/>
      <c r="BE530" s="15"/>
      <c r="BF530" s="15"/>
      <c r="BG530" s="15"/>
      <c r="BH530" s="15"/>
      <c r="BI530" s="15"/>
    </row>
    <row r="531" spans="1:61" ht="15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7"/>
      <c r="O531" s="17"/>
      <c r="P531" s="15"/>
      <c r="Q531" s="15"/>
      <c r="R531" s="15"/>
      <c r="S531" s="15"/>
      <c r="T531" s="15"/>
      <c r="U531" s="15"/>
      <c r="V531" s="17"/>
      <c r="W531" s="17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  <c r="AM531" s="15"/>
      <c r="AN531" s="15"/>
      <c r="AO531" s="15"/>
      <c r="AP531" s="15"/>
      <c r="AQ531" s="15"/>
      <c r="AR531" s="15"/>
      <c r="AS531" s="15"/>
      <c r="AT531" s="15"/>
      <c r="AU531" s="15"/>
      <c r="AV531" s="15"/>
      <c r="AW531" s="15"/>
      <c r="AX531" s="15"/>
      <c r="AY531" s="15"/>
      <c r="AZ531" s="15"/>
      <c r="BA531" s="15"/>
      <c r="BB531" s="15"/>
      <c r="BC531" s="15"/>
      <c r="BD531" s="15"/>
      <c r="BE531" s="15"/>
      <c r="BF531" s="15"/>
      <c r="BG531" s="15"/>
      <c r="BH531" s="15"/>
      <c r="BI531" s="15"/>
    </row>
    <row r="532" spans="1:61" ht="15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7"/>
      <c r="O532" s="17"/>
      <c r="P532" s="15"/>
      <c r="Q532" s="15"/>
      <c r="R532" s="15"/>
      <c r="S532" s="15"/>
      <c r="T532" s="15"/>
      <c r="U532" s="15"/>
      <c r="V532" s="17"/>
      <c r="W532" s="17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  <c r="AO532" s="15"/>
      <c r="AP532" s="15"/>
      <c r="AQ532" s="15"/>
      <c r="AR532" s="15"/>
      <c r="AS532" s="15"/>
      <c r="AT532" s="15"/>
      <c r="AU532" s="15"/>
      <c r="AV532" s="15"/>
      <c r="AW532" s="15"/>
      <c r="AX532" s="15"/>
      <c r="AY532" s="15"/>
      <c r="AZ532" s="15"/>
      <c r="BA532" s="15"/>
      <c r="BB532" s="15"/>
      <c r="BC532" s="15"/>
      <c r="BD532" s="15"/>
      <c r="BE532" s="15"/>
      <c r="BF532" s="15"/>
      <c r="BG532" s="15"/>
      <c r="BH532" s="15"/>
      <c r="BI532" s="15"/>
    </row>
    <row r="533" spans="1:61" ht="15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7"/>
      <c r="O533" s="17"/>
      <c r="P533" s="15"/>
      <c r="Q533" s="15"/>
      <c r="R533" s="15"/>
      <c r="S533" s="15"/>
      <c r="T533" s="15"/>
      <c r="U533" s="15"/>
      <c r="V533" s="17"/>
      <c r="W533" s="17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  <c r="AO533" s="15"/>
      <c r="AP533" s="15"/>
      <c r="AQ533" s="15"/>
      <c r="AR533" s="15"/>
      <c r="AS533" s="15"/>
      <c r="AT533" s="15"/>
      <c r="AU533" s="15"/>
      <c r="AV533" s="15"/>
      <c r="AW533" s="15"/>
      <c r="AX533" s="15"/>
      <c r="AY533" s="15"/>
      <c r="AZ533" s="15"/>
      <c r="BA533" s="15"/>
      <c r="BB533" s="15"/>
      <c r="BC533" s="15"/>
      <c r="BD533" s="15"/>
      <c r="BE533" s="15"/>
      <c r="BF533" s="15"/>
      <c r="BG533" s="15"/>
      <c r="BH533" s="15"/>
      <c r="BI533" s="15"/>
    </row>
    <row r="534" spans="1:61" ht="15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7"/>
      <c r="O534" s="17"/>
      <c r="P534" s="15"/>
      <c r="Q534" s="15"/>
      <c r="R534" s="15"/>
      <c r="S534" s="15"/>
      <c r="T534" s="15"/>
      <c r="U534" s="15"/>
      <c r="V534" s="17"/>
      <c r="W534" s="17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  <c r="AO534" s="15"/>
      <c r="AP534" s="15"/>
      <c r="AQ534" s="15"/>
      <c r="AR534" s="15"/>
      <c r="AS534" s="15"/>
      <c r="AT534" s="15"/>
      <c r="AU534" s="15"/>
      <c r="AV534" s="15"/>
      <c r="AW534" s="15"/>
      <c r="AX534" s="15"/>
      <c r="AY534" s="15"/>
      <c r="AZ534" s="15"/>
      <c r="BA534" s="15"/>
      <c r="BB534" s="15"/>
      <c r="BC534" s="15"/>
      <c r="BD534" s="15"/>
      <c r="BE534" s="15"/>
      <c r="BF534" s="15"/>
      <c r="BG534" s="15"/>
      <c r="BH534" s="15"/>
      <c r="BI534" s="15"/>
    </row>
    <row r="535" spans="1:61" ht="15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7"/>
      <c r="O535" s="17"/>
      <c r="P535" s="15"/>
      <c r="Q535" s="15"/>
      <c r="R535" s="15"/>
      <c r="S535" s="15"/>
      <c r="T535" s="15"/>
      <c r="U535" s="15"/>
      <c r="V535" s="17"/>
      <c r="W535" s="17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  <c r="AN535" s="15"/>
      <c r="AO535" s="15"/>
      <c r="AP535" s="15"/>
      <c r="AQ535" s="15"/>
      <c r="AR535" s="15"/>
      <c r="AS535" s="15"/>
      <c r="AT535" s="15"/>
      <c r="AU535" s="15"/>
      <c r="AV535" s="15"/>
      <c r="AW535" s="15"/>
      <c r="AX535" s="15"/>
      <c r="AY535" s="15"/>
      <c r="AZ535" s="15"/>
      <c r="BA535" s="15"/>
      <c r="BB535" s="15"/>
      <c r="BC535" s="15"/>
      <c r="BD535" s="15"/>
      <c r="BE535" s="15"/>
      <c r="BF535" s="15"/>
      <c r="BG535" s="15"/>
      <c r="BH535" s="15"/>
      <c r="BI535" s="15"/>
    </row>
    <row r="536" spans="1:61" ht="15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7"/>
      <c r="O536" s="17"/>
      <c r="P536" s="15"/>
      <c r="Q536" s="15"/>
      <c r="R536" s="15"/>
      <c r="S536" s="15"/>
      <c r="T536" s="15"/>
      <c r="U536" s="15"/>
      <c r="V536" s="17"/>
      <c r="W536" s="17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  <c r="AN536" s="15"/>
      <c r="AO536" s="15"/>
      <c r="AP536" s="15"/>
      <c r="AQ536" s="15"/>
      <c r="AR536" s="15"/>
      <c r="AS536" s="15"/>
      <c r="AT536" s="15"/>
      <c r="AU536" s="15"/>
      <c r="AV536" s="15"/>
      <c r="AW536" s="15"/>
      <c r="AX536" s="15"/>
      <c r="AY536" s="15"/>
      <c r="AZ536" s="15"/>
      <c r="BA536" s="15"/>
      <c r="BB536" s="15"/>
      <c r="BC536" s="15"/>
      <c r="BD536" s="15"/>
      <c r="BE536" s="15"/>
      <c r="BF536" s="15"/>
      <c r="BG536" s="15"/>
      <c r="BH536" s="15"/>
      <c r="BI536" s="15"/>
    </row>
    <row r="537" spans="1:61" ht="15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7"/>
      <c r="O537" s="17"/>
      <c r="P537" s="15"/>
      <c r="Q537" s="15"/>
      <c r="R537" s="15"/>
      <c r="S537" s="15"/>
      <c r="T537" s="15"/>
      <c r="U537" s="15"/>
      <c r="V537" s="17"/>
      <c r="W537" s="17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  <c r="AN537" s="15"/>
      <c r="AO537" s="15"/>
      <c r="AP537" s="15"/>
      <c r="AQ537" s="15"/>
      <c r="AR537" s="15"/>
      <c r="AS537" s="15"/>
      <c r="AT537" s="15"/>
      <c r="AU537" s="15"/>
      <c r="AV537" s="15"/>
      <c r="AW537" s="15"/>
      <c r="AX537" s="15"/>
      <c r="AY537" s="15"/>
      <c r="AZ537" s="15"/>
      <c r="BA537" s="15"/>
      <c r="BB537" s="15"/>
      <c r="BC537" s="15"/>
      <c r="BD537" s="15"/>
      <c r="BE537" s="15"/>
      <c r="BF537" s="15"/>
      <c r="BG537" s="15"/>
      <c r="BH537" s="15"/>
      <c r="BI537" s="15"/>
    </row>
    <row r="538" spans="1:61" ht="15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7"/>
      <c r="O538" s="17"/>
      <c r="P538" s="15"/>
      <c r="Q538" s="15"/>
      <c r="R538" s="15"/>
      <c r="S538" s="15"/>
      <c r="T538" s="15"/>
      <c r="U538" s="15"/>
      <c r="V538" s="17"/>
      <c r="W538" s="17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  <c r="AO538" s="15"/>
      <c r="AP538" s="15"/>
      <c r="AQ538" s="15"/>
      <c r="AR538" s="15"/>
      <c r="AS538" s="15"/>
      <c r="AT538" s="15"/>
      <c r="AU538" s="15"/>
      <c r="AV538" s="15"/>
      <c r="AW538" s="15"/>
      <c r="AX538" s="15"/>
      <c r="AY538" s="15"/>
      <c r="AZ538" s="15"/>
      <c r="BA538" s="15"/>
      <c r="BB538" s="15"/>
      <c r="BC538" s="15"/>
      <c r="BD538" s="15"/>
      <c r="BE538" s="15"/>
      <c r="BF538" s="15"/>
      <c r="BG538" s="15"/>
      <c r="BH538" s="15"/>
      <c r="BI538" s="15"/>
    </row>
    <row r="539" spans="1:61" ht="15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7"/>
      <c r="O539" s="17"/>
      <c r="P539" s="15"/>
      <c r="Q539" s="15"/>
      <c r="R539" s="15"/>
      <c r="S539" s="15"/>
      <c r="T539" s="15"/>
      <c r="U539" s="15"/>
      <c r="V539" s="17"/>
      <c r="W539" s="17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  <c r="AN539" s="15"/>
      <c r="AO539" s="15"/>
      <c r="AP539" s="15"/>
      <c r="AQ539" s="15"/>
      <c r="AR539" s="15"/>
      <c r="AS539" s="15"/>
      <c r="AT539" s="15"/>
      <c r="AU539" s="15"/>
      <c r="AV539" s="15"/>
      <c r="AW539" s="15"/>
      <c r="AX539" s="15"/>
      <c r="AY539" s="15"/>
      <c r="AZ539" s="15"/>
      <c r="BA539" s="15"/>
      <c r="BB539" s="15"/>
      <c r="BC539" s="15"/>
      <c r="BD539" s="15"/>
      <c r="BE539" s="15"/>
      <c r="BF539" s="15"/>
      <c r="BG539" s="15"/>
      <c r="BH539" s="15"/>
      <c r="BI539" s="15"/>
    </row>
    <row r="540" spans="1:61" ht="15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7"/>
      <c r="O540" s="17"/>
      <c r="P540" s="15"/>
      <c r="Q540" s="15"/>
      <c r="R540" s="15"/>
      <c r="S540" s="15"/>
      <c r="T540" s="15"/>
      <c r="U540" s="15"/>
      <c r="V540" s="17"/>
      <c r="W540" s="17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  <c r="AN540" s="15"/>
      <c r="AO540" s="15"/>
      <c r="AP540" s="15"/>
      <c r="AQ540" s="15"/>
      <c r="AR540" s="15"/>
      <c r="AS540" s="15"/>
      <c r="AT540" s="15"/>
      <c r="AU540" s="15"/>
      <c r="AV540" s="15"/>
      <c r="AW540" s="15"/>
      <c r="AX540" s="15"/>
      <c r="AY540" s="15"/>
      <c r="AZ540" s="15"/>
      <c r="BA540" s="15"/>
      <c r="BB540" s="15"/>
      <c r="BC540" s="15"/>
      <c r="BD540" s="15"/>
      <c r="BE540" s="15"/>
      <c r="BF540" s="15"/>
      <c r="BG540" s="15"/>
      <c r="BH540" s="15"/>
      <c r="BI540" s="15"/>
    </row>
    <row r="541" spans="1:61" ht="15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7"/>
      <c r="O541" s="17"/>
      <c r="P541" s="15"/>
      <c r="Q541" s="15"/>
      <c r="R541" s="15"/>
      <c r="S541" s="15"/>
      <c r="T541" s="15"/>
      <c r="U541" s="15"/>
      <c r="V541" s="17"/>
      <c r="W541" s="17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  <c r="AM541" s="15"/>
      <c r="AN541" s="15"/>
      <c r="AO541" s="15"/>
      <c r="AP541" s="15"/>
      <c r="AQ541" s="15"/>
      <c r="AR541" s="15"/>
      <c r="AS541" s="15"/>
      <c r="AT541" s="15"/>
      <c r="AU541" s="15"/>
      <c r="AV541" s="15"/>
      <c r="AW541" s="15"/>
      <c r="AX541" s="15"/>
      <c r="AY541" s="15"/>
      <c r="AZ541" s="15"/>
      <c r="BA541" s="15"/>
      <c r="BB541" s="15"/>
      <c r="BC541" s="15"/>
      <c r="BD541" s="15"/>
      <c r="BE541" s="15"/>
      <c r="BF541" s="15"/>
      <c r="BG541" s="15"/>
      <c r="BH541" s="15"/>
      <c r="BI541" s="15"/>
    </row>
    <row r="542" spans="1:61" ht="15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7"/>
      <c r="O542" s="17"/>
      <c r="P542" s="15"/>
      <c r="Q542" s="15"/>
      <c r="R542" s="15"/>
      <c r="S542" s="15"/>
      <c r="T542" s="15"/>
      <c r="U542" s="15"/>
      <c r="V542" s="17"/>
      <c r="W542" s="17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  <c r="AM542" s="15"/>
      <c r="AN542" s="15"/>
      <c r="AO542" s="15"/>
      <c r="AP542" s="15"/>
      <c r="AQ542" s="15"/>
      <c r="AR542" s="15"/>
      <c r="AS542" s="15"/>
      <c r="AT542" s="15"/>
      <c r="AU542" s="15"/>
      <c r="AV542" s="15"/>
      <c r="AW542" s="15"/>
      <c r="AX542" s="15"/>
      <c r="AY542" s="15"/>
      <c r="AZ542" s="15"/>
      <c r="BA542" s="15"/>
      <c r="BB542" s="15"/>
      <c r="BC542" s="15"/>
      <c r="BD542" s="15"/>
      <c r="BE542" s="15"/>
      <c r="BF542" s="15"/>
      <c r="BG542" s="15"/>
      <c r="BH542" s="15"/>
      <c r="BI542" s="15"/>
    </row>
    <row r="543" spans="1:61" ht="15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7"/>
      <c r="O543" s="17"/>
      <c r="P543" s="15"/>
      <c r="Q543" s="15"/>
      <c r="R543" s="15"/>
      <c r="S543" s="15"/>
      <c r="T543" s="15"/>
      <c r="U543" s="15"/>
      <c r="V543" s="17"/>
      <c r="W543" s="17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  <c r="AM543" s="15"/>
      <c r="AN543" s="15"/>
      <c r="AO543" s="15"/>
      <c r="AP543" s="15"/>
      <c r="AQ543" s="15"/>
      <c r="AR543" s="15"/>
      <c r="AS543" s="15"/>
      <c r="AT543" s="15"/>
      <c r="AU543" s="15"/>
      <c r="AV543" s="15"/>
      <c r="AW543" s="15"/>
      <c r="AX543" s="15"/>
      <c r="AY543" s="15"/>
      <c r="AZ543" s="15"/>
      <c r="BA543" s="15"/>
      <c r="BB543" s="15"/>
      <c r="BC543" s="15"/>
      <c r="BD543" s="15"/>
      <c r="BE543" s="15"/>
      <c r="BF543" s="15"/>
      <c r="BG543" s="15"/>
      <c r="BH543" s="15"/>
      <c r="BI543" s="15"/>
    </row>
    <row r="544" spans="1:61" ht="15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7"/>
      <c r="O544" s="17"/>
      <c r="P544" s="15"/>
      <c r="Q544" s="15"/>
      <c r="R544" s="15"/>
      <c r="S544" s="15"/>
      <c r="T544" s="15"/>
      <c r="U544" s="15"/>
      <c r="V544" s="17"/>
      <c r="W544" s="17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  <c r="AN544" s="15"/>
      <c r="AO544" s="15"/>
      <c r="AP544" s="15"/>
      <c r="AQ544" s="15"/>
      <c r="AR544" s="15"/>
      <c r="AS544" s="15"/>
      <c r="AT544" s="15"/>
      <c r="AU544" s="15"/>
      <c r="AV544" s="15"/>
      <c r="AW544" s="15"/>
      <c r="AX544" s="15"/>
      <c r="AY544" s="15"/>
      <c r="AZ544" s="15"/>
      <c r="BA544" s="15"/>
      <c r="BB544" s="15"/>
      <c r="BC544" s="15"/>
      <c r="BD544" s="15"/>
      <c r="BE544" s="15"/>
      <c r="BF544" s="15"/>
      <c r="BG544" s="15"/>
      <c r="BH544" s="15"/>
      <c r="BI544" s="15"/>
    </row>
    <row r="545" spans="1:61" ht="15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7"/>
      <c r="O545" s="17"/>
      <c r="P545" s="15"/>
      <c r="Q545" s="15"/>
      <c r="R545" s="15"/>
      <c r="S545" s="15"/>
      <c r="T545" s="15"/>
      <c r="U545" s="15"/>
      <c r="V545" s="17"/>
      <c r="W545" s="17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  <c r="AM545" s="15"/>
      <c r="AN545" s="15"/>
      <c r="AO545" s="15"/>
      <c r="AP545" s="15"/>
      <c r="AQ545" s="15"/>
      <c r="AR545" s="15"/>
      <c r="AS545" s="15"/>
      <c r="AT545" s="15"/>
      <c r="AU545" s="15"/>
      <c r="AV545" s="15"/>
      <c r="AW545" s="15"/>
      <c r="AX545" s="15"/>
      <c r="AY545" s="15"/>
      <c r="AZ545" s="15"/>
      <c r="BA545" s="15"/>
      <c r="BB545" s="15"/>
      <c r="BC545" s="15"/>
      <c r="BD545" s="15"/>
      <c r="BE545" s="15"/>
      <c r="BF545" s="15"/>
      <c r="BG545" s="15"/>
      <c r="BH545" s="15"/>
      <c r="BI545" s="15"/>
    </row>
    <row r="546" spans="1:61" ht="15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7"/>
      <c r="O546" s="17"/>
      <c r="P546" s="15"/>
      <c r="Q546" s="15"/>
      <c r="R546" s="15"/>
      <c r="S546" s="15"/>
      <c r="T546" s="15"/>
      <c r="U546" s="15"/>
      <c r="V546" s="17"/>
      <c r="W546" s="17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  <c r="AN546" s="15"/>
      <c r="AO546" s="15"/>
      <c r="AP546" s="15"/>
      <c r="AQ546" s="15"/>
      <c r="AR546" s="15"/>
      <c r="AS546" s="15"/>
      <c r="AT546" s="15"/>
      <c r="AU546" s="15"/>
      <c r="AV546" s="15"/>
      <c r="AW546" s="15"/>
      <c r="AX546" s="15"/>
      <c r="AY546" s="15"/>
      <c r="AZ546" s="15"/>
      <c r="BA546" s="15"/>
      <c r="BB546" s="15"/>
      <c r="BC546" s="15"/>
      <c r="BD546" s="15"/>
      <c r="BE546" s="15"/>
      <c r="BF546" s="15"/>
      <c r="BG546" s="15"/>
      <c r="BH546" s="15"/>
      <c r="BI546" s="15"/>
    </row>
    <row r="547" spans="1:61" ht="15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7"/>
      <c r="O547" s="17"/>
      <c r="P547" s="15"/>
      <c r="Q547" s="15"/>
      <c r="R547" s="15"/>
      <c r="S547" s="15"/>
      <c r="T547" s="15"/>
      <c r="U547" s="15"/>
      <c r="V547" s="17"/>
      <c r="W547" s="17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  <c r="AM547" s="15"/>
      <c r="AN547" s="15"/>
      <c r="AO547" s="15"/>
      <c r="AP547" s="15"/>
      <c r="AQ547" s="15"/>
      <c r="AR547" s="15"/>
      <c r="AS547" s="15"/>
      <c r="AT547" s="15"/>
      <c r="AU547" s="15"/>
      <c r="AV547" s="15"/>
      <c r="AW547" s="15"/>
      <c r="AX547" s="15"/>
      <c r="AY547" s="15"/>
      <c r="AZ547" s="15"/>
      <c r="BA547" s="15"/>
      <c r="BB547" s="15"/>
      <c r="BC547" s="15"/>
      <c r="BD547" s="15"/>
      <c r="BE547" s="15"/>
      <c r="BF547" s="15"/>
      <c r="BG547" s="15"/>
      <c r="BH547" s="15"/>
      <c r="BI547" s="15"/>
    </row>
    <row r="548" spans="1:61" ht="15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7"/>
      <c r="O548" s="17"/>
      <c r="P548" s="15"/>
      <c r="Q548" s="15"/>
      <c r="R548" s="15"/>
      <c r="S548" s="15"/>
      <c r="T548" s="15"/>
      <c r="U548" s="15"/>
      <c r="V548" s="17"/>
      <c r="W548" s="17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  <c r="AN548" s="15"/>
      <c r="AO548" s="15"/>
      <c r="AP548" s="15"/>
      <c r="AQ548" s="15"/>
      <c r="AR548" s="15"/>
      <c r="AS548" s="15"/>
      <c r="AT548" s="15"/>
      <c r="AU548" s="15"/>
      <c r="AV548" s="15"/>
      <c r="AW548" s="15"/>
      <c r="AX548" s="15"/>
      <c r="AY548" s="15"/>
      <c r="AZ548" s="15"/>
      <c r="BA548" s="15"/>
      <c r="BB548" s="15"/>
      <c r="BC548" s="15"/>
      <c r="BD548" s="15"/>
      <c r="BE548" s="15"/>
      <c r="BF548" s="15"/>
      <c r="BG548" s="15"/>
      <c r="BH548" s="15"/>
      <c r="BI548" s="15"/>
    </row>
    <row r="549" spans="1:61" ht="15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7"/>
      <c r="O549" s="17"/>
      <c r="P549" s="15"/>
      <c r="Q549" s="15"/>
      <c r="R549" s="15"/>
      <c r="S549" s="15"/>
      <c r="T549" s="15"/>
      <c r="U549" s="15"/>
      <c r="V549" s="17"/>
      <c r="W549" s="17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  <c r="AN549" s="15"/>
      <c r="AO549" s="15"/>
      <c r="AP549" s="15"/>
      <c r="AQ549" s="15"/>
      <c r="AR549" s="15"/>
      <c r="AS549" s="15"/>
      <c r="AT549" s="15"/>
      <c r="AU549" s="15"/>
      <c r="AV549" s="15"/>
      <c r="AW549" s="15"/>
      <c r="AX549" s="15"/>
      <c r="AY549" s="15"/>
      <c r="AZ549" s="15"/>
      <c r="BA549" s="15"/>
      <c r="BB549" s="15"/>
      <c r="BC549" s="15"/>
      <c r="BD549" s="15"/>
      <c r="BE549" s="15"/>
      <c r="BF549" s="15"/>
      <c r="BG549" s="15"/>
      <c r="BH549" s="15"/>
      <c r="BI549" s="15"/>
    </row>
    <row r="550" spans="1:61" ht="15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7"/>
      <c r="O550" s="17"/>
      <c r="P550" s="15"/>
      <c r="Q550" s="15"/>
      <c r="R550" s="15"/>
      <c r="S550" s="15"/>
      <c r="T550" s="15"/>
      <c r="U550" s="15"/>
      <c r="V550" s="17"/>
      <c r="W550" s="17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  <c r="AN550" s="15"/>
      <c r="AO550" s="15"/>
      <c r="AP550" s="15"/>
      <c r="AQ550" s="15"/>
      <c r="AR550" s="15"/>
      <c r="AS550" s="15"/>
      <c r="AT550" s="15"/>
      <c r="AU550" s="15"/>
      <c r="AV550" s="15"/>
      <c r="AW550" s="15"/>
      <c r="AX550" s="15"/>
      <c r="AY550" s="15"/>
      <c r="AZ550" s="15"/>
      <c r="BA550" s="15"/>
      <c r="BB550" s="15"/>
      <c r="BC550" s="15"/>
      <c r="BD550" s="15"/>
      <c r="BE550" s="15"/>
      <c r="BF550" s="15"/>
      <c r="BG550" s="15"/>
      <c r="BH550" s="15"/>
      <c r="BI550" s="15"/>
    </row>
    <row r="551" spans="1:61" ht="15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7"/>
      <c r="O551" s="17"/>
      <c r="P551" s="15"/>
      <c r="Q551" s="15"/>
      <c r="R551" s="15"/>
      <c r="S551" s="15"/>
      <c r="T551" s="15"/>
      <c r="U551" s="15"/>
      <c r="V551" s="17"/>
      <c r="W551" s="17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  <c r="AM551" s="15"/>
      <c r="AN551" s="15"/>
      <c r="AO551" s="15"/>
      <c r="AP551" s="15"/>
      <c r="AQ551" s="15"/>
      <c r="AR551" s="15"/>
      <c r="AS551" s="15"/>
      <c r="AT551" s="15"/>
      <c r="AU551" s="15"/>
      <c r="AV551" s="15"/>
      <c r="AW551" s="15"/>
      <c r="AX551" s="15"/>
      <c r="AY551" s="15"/>
      <c r="AZ551" s="15"/>
      <c r="BA551" s="15"/>
      <c r="BB551" s="15"/>
      <c r="BC551" s="15"/>
      <c r="BD551" s="15"/>
      <c r="BE551" s="15"/>
      <c r="BF551" s="15"/>
      <c r="BG551" s="15"/>
      <c r="BH551" s="15"/>
      <c r="BI551" s="15"/>
    </row>
    <row r="552" spans="1:61" ht="15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7"/>
      <c r="O552" s="17"/>
      <c r="P552" s="15"/>
      <c r="Q552" s="15"/>
      <c r="R552" s="15"/>
      <c r="S552" s="15"/>
      <c r="T552" s="15"/>
      <c r="U552" s="15"/>
      <c r="V552" s="17"/>
      <c r="W552" s="17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  <c r="AO552" s="15"/>
      <c r="AP552" s="15"/>
      <c r="AQ552" s="15"/>
      <c r="AR552" s="15"/>
      <c r="AS552" s="15"/>
      <c r="AT552" s="15"/>
      <c r="AU552" s="15"/>
      <c r="AV552" s="15"/>
      <c r="AW552" s="15"/>
      <c r="AX552" s="15"/>
      <c r="AY552" s="15"/>
      <c r="AZ552" s="15"/>
      <c r="BA552" s="15"/>
      <c r="BB552" s="15"/>
      <c r="BC552" s="15"/>
      <c r="BD552" s="15"/>
      <c r="BE552" s="15"/>
      <c r="BF552" s="15"/>
      <c r="BG552" s="15"/>
      <c r="BH552" s="15"/>
      <c r="BI552" s="15"/>
    </row>
    <row r="553" spans="1:61" ht="15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7"/>
      <c r="O553" s="17"/>
      <c r="P553" s="15"/>
      <c r="Q553" s="15"/>
      <c r="R553" s="15"/>
      <c r="S553" s="15"/>
      <c r="T553" s="15"/>
      <c r="U553" s="15"/>
      <c r="V553" s="17"/>
      <c r="W553" s="17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  <c r="AN553" s="15"/>
      <c r="AO553" s="15"/>
      <c r="AP553" s="15"/>
      <c r="AQ553" s="15"/>
      <c r="AR553" s="15"/>
      <c r="AS553" s="15"/>
      <c r="AT553" s="15"/>
      <c r="AU553" s="15"/>
      <c r="AV553" s="15"/>
      <c r="AW553" s="15"/>
      <c r="AX553" s="15"/>
      <c r="AY553" s="15"/>
      <c r="AZ553" s="15"/>
      <c r="BA553" s="15"/>
      <c r="BB553" s="15"/>
      <c r="BC553" s="15"/>
      <c r="BD553" s="15"/>
      <c r="BE553" s="15"/>
      <c r="BF553" s="15"/>
      <c r="BG553" s="15"/>
      <c r="BH553" s="15"/>
      <c r="BI553" s="15"/>
    </row>
    <row r="554" spans="1:61" ht="15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7"/>
      <c r="O554" s="17"/>
      <c r="P554" s="15"/>
      <c r="Q554" s="15"/>
      <c r="R554" s="15"/>
      <c r="S554" s="15"/>
      <c r="T554" s="15"/>
      <c r="U554" s="15"/>
      <c r="V554" s="17"/>
      <c r="W554" s="17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15"/>
      <c r="AO554" s="15"/>
      <c r="AP554" s="15"/>
      <c r="AQ554" s="15"/>
      <c r="AR554" s="15"/>
      <c r="AS554" s="15"/>
      <c r="AT554" s="15"/>
      <c r="AU554" s="15"/>
      <c r="AV554" s="15"/>
      <c r="AW554" s="15"/>
      <c r="AX554" s="15"/>
      <c r="AY554" s="15"/>
      <c r="AZ554" s="15"/>
      <c r="BA554" s="15"/>
      <c r="BB554" s="15"/>
      <c r="BC554" s="15"/>
      <c r="BD554" s="15"/>
      <c r="BE554" s="15"/>
      <c r="BF554" s="15"/>
      <c r="BG554" s="15"/>
      <c r="BH554" s="15"/>
      <c r="BI554" s="15"/>
    </row>
    <row r="555" spans="1:61" ht="15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7"/>
      <c r="O555" s="17"/>
      <c r="P555" s="15"/>
      <c r="Q555" s="15"/>
      <c r="R555" s="15"/>
      <c r="S555" s="15"/>
      <c r="T555" s="15"/>
      <c r="U555" s="15"/>
      <c r="V555" s="17"/>
      <c r="W555" s="17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  <c r="AM555" s="15"/>
      <c r="AN555" s="15"/>
      <c r="AO555" s="15"/>
      <c r="AP555" s="15"/>
      <c r="AQ555" s="15"/>
      <c r="AR555" s="15"/>
      <c r="AS555" s="15"/>
      <c r="AT555" s="15"/>
      <c r="AU555" s="15"/>
      <c r="AV555" s="15"/>
      <c r="AW555" s="15"/>
      <c r="AX555" s="15"/>
      <c r="AY555" s="15"/>
      <c r="AZ555" s="15"/>
      <c r="BA555" s="15"/>
      <c r="BB555" s="15"/>
      <c r="BC555" s="15"/>
      <c r="BD555" s="15"/>
      <c r="BE555" s="15"/>
      <c r="BF555" s="15"/>
      <c r="BG555" s="15"/>
      <c r="BH555" s="15"/>
      <c r="BI555" s="15"/>
    </row>
    <row r="556" spans="1:61" ht="15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7"/>
      <c r="O556" s="17"/>
      <c r="P556" s="15"/>
      <c r="Q556" s="15"/>
      <c r="R556" s="15"/>
      <c r="S556" s="15"/>
      <c r="T556" s="15"/>
      <c r="U556" s="15"/>
      <c r="V556" s="17"/>
      <c r="W556" s="17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  <c r="AN556" s="15"/>
      <c r="AO556" s="15"/>
      <c r="AP556" s="15"/>
      <c r="AQ556" s="15"/>
      <c r="AR556" s="15"/>
      <c r="AS556" s="15"/>
      <c r="AT556" s="15"/>
      <c r="AU556" s="15"/>
      <c r="AV556" s="15"/>
      <c r="AW556" s="15"/>
      <c r="AX556" s="15"/>
      <c r="AY556" s="15"/>
      <c r="AZ556" s="15"/>
      <c r="BA556" s="15"/>
      <c r="BB556" s="15"/>
      <c r="BC556" s="15"/>
      <c r="BD556" s="15"/>
      <c r="BE556" s="15"/>
      <c r="BF556" s="15"/>
      <c r="BG556" s="15"/>
      <c r="BH556" s="15"/>
      <c r="BI556" s="15"/>
    </row>
    <row r="557" spans="1:61" ht="15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7"/>
      <c r="O557" s="17"/>
      <c r="P557" s="15"/>
      <c r="Q557" s="15"/>
      <c r="R557" s="15"/>
      <c r="S557" s="15"/>
      <c r="T557" s="15"/>
      <c r="U557" s="15"/>
      <c r="V557" s="17"/>
      <c r="W557" s="17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  <c r="AM557" s="15"/>
      <c r="AN557" s="15"/>
      <c r="AO557" s="15"/>
      <c r="AP557" s="15"/>
      <c r="AQ557" s="15"/>
      <c r="AR557" s="15"/>
      <c r="AS557" s="15"/>
      <c r="AT557" s="15"/>
      <c r="AU557" s="15"/>
      <c r="AV557" s="15"/>
      <c r="AW557" s="15"/>
      <c r="AX557" s="15"/>
      <c r="AY557" s="15"/>
      <c r="AZ557" s="15"/>
      <c r="BA557" s="15"/>
      <c r="BB557" s="15"/>
      <c r="BC557" s="15"/>
      <c r="BD557" s="15"/>
      <c r="BE557" s="15"/>
      <c r="BF557" s="15"/>
      <c r="BG557" s="15"/>
      <c r="BH557" s="15"/>
      <c r="BI557" s="15"/>
    </row>
    <row r="558" spans="1:61" ht="15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7"/>
      <c r="O558" s="17"/>
      <c r="P558" s="15"/>
      <c r="Q558" s="15"/>
      <c r="R558" s="15"/>
      <c r="S558" s="15"/>
      <c r="T558" s="15"/>
      <c r="U558" s="15"/>
      <c r="V558" s="17"/>
      <c r="W558" s="17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  <c r="AN558" s="15"/>
      <c r="AO558" s="15"/>
      <c r="AP558" s="15"/>
      <c r="AQ558" s="15"/>
      <c r="AR558" s="15"/>
      <c r="AS558" s="15"/>
      <c r="AT558" s="15"/>
      <c r="AU558" s="15"/>
      <c r="AV558" s="15"/>
      <c r="AW558" s="15"/>
      <c r="AX558" s="15"/>
      <c r="AY558" s="15"/>
      <c r="AZ558" s="15"/>
      <c r="BA558" s="15"/>
      <c r="BB558" s="15"/>
      <c r="BC558" s="15"/>
      <c r="BD558" s="15"/>
      <c r="BE558" s="15"/>
      <c r="BF558" s="15"/>
      <c r="BG558" s="15"/>
      <c r="BH558" s="15"/>
      <c r="BI558" s="15"/>
    </row>
    <row r="559" spans="1:61" ht="15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7"/>
      <c r="O559" s="17"/>
      <c r="P559" s="15"/>
      <c r="Q559" s="15"/>
      <c r="R559" s="15"/>
      <c r="S559" s="15"/>
      <c r="T559" s="15"/>
      <c r="U559" s="15"/>
      <c r="V559" s="17"/>
      <c r="W559" s="17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  <c r="AM559" s="15"/>
      <c r="AN559" s="15"/>
      <c r="AO559" s="15"/>
      <c r="AP559" s="15"/>
      <c r="AQ559" s="15"/>
      <c r="AR559" s="15"/>
      <c r="AS559" s="15"/>
      <c r="AT559" s="15"/>
      <c r="AU559" s="15"/>
      <c r="AV559" s="15"/>
      <c r="AW559" s="15"/>
      <c r="AX559" s="15"/>
      <c r="AY559" s="15"/>
      <c r="AZ559" s="15"/>
      <c r="BA559" s="15"/>
      <c r="BB559" s="15"/>
      <c r="BC559" s="15"/>
      <c r="BD559" s="15"/>
      <c r="BE559" s="15"/>
      <c r="BF559" s="15"/>
      <c r="BG559" s="15"/>
      <c r="BH559" s="15"/>
      <c r="BI559" s="15"/>
    </row>
    <row r="560" spans="1:61" ht="15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7"/>
      <c r="O560" s="17"/>
      <c r="P560" s="15"/>
      <c r="Q560" s="15"/>
      <c r="R560" s="15"/>
      <c r="S560" s="15"/>
      <c r="T560" s="15"/>
      <c r="U560" s="15"/>
      <c r="V560" s="17"/>
      <c r="W560" s="17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  <c r="AN560" s="15"/>
      <c r="AO560" s="15"/>
      <c r="AP560" s="15"/>
      <c r="AQ560" s="15"/>
      <c r="AR560" s="15"/>
      <c r="AS560" s="15"/>
      <c r="AT560" s="15"/>
      <c r="AU560" s="15"/>
      <c r="AV560" s="15"/>
      <c r="AW560" s="15"/>
      <c r="AX560" s="15"/>
      <c r="AY560" s="15"/>
      <c r="AZ560" s="15"/>
      <c r="BA560" s="15"/>
      <c r="BB560" s="15"/>
      <c r="BC560" s="15"/>
      <c r="BD560" s="15"/>
      <c r="BE560" s="15"/>
      <c r="BF560" s="15"/>
      <c r="BG560" s="15"/>
      <c r="BH560" s="15"/>
      <c r="BI560" s="15"/>
    </row>
    <row r="561" spans="1:61" ht="15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7"/>
      <c r="O561" s="17"/>
      <c r="P561" s="15"/>
      <c r="Q561" s="15"/>
      <c r="R561" s="15"/>
      <c r="S561" s="15"/>
      <c r="T561" s="15"/>
      <c r="U561" s="15"/>
      <c r="V561" s="17"/>
      <c r="W561" s="17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  <c r="AO561" s="15"/>
      <c r="AP561" s="15"/>
      <c r="AQ561" s="15"/>
      <c r="AR561" s="15"/>
      <c r="AS561" s="15"/>
      <c r="AT561" s="15"/>
      <c r="AU561" s="15"/>
      <c r="AV561" s="15"/>
      <c r="AW561" s="15"/>
      <c r="AX561" s="15"/>
      <c r="AY561" s="15"/>
      <c r="AZ561" s="15"/>
      <c r="BA561" s="15"/>
      <c r="BB561" s="15"/>
      <c r="BC561" s="15"/>
      <c r="BD561" s="15"/>
      <c r="BE561" s="15"/>
      <c r="BF561" s="15"/>
      <c r="BG561" s="15"/>
      <c r="BH561" s="15"/>
      <c r="BI561" s="15"/>
    </row>
    <row r="562" spans="1:61" ht="15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7"/>
      <c r="O562" s="17"/>
      <c r="P562" s="15"/>
      <c r="Q562" s="15"/>
      <c r="R562" s="15"/>
      <c r="S562" s="15"/>
      <c r="T562" s="15"/>
      <c r="U562" s="15"/>
      <c r="V562" s="17"/>
      <c r="W562" s="17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  <c r="AO562" s="15"/>
      <c r="AP562" s="15"/>
      <c r="AQ562" s="15"/>
      <c r="AR562" s="15"/>
      <c r="AS562" s="15"/>
      <c r="AT562" s="15"/>
      <c r="AU562" s="15"/>
      <c r="AV562" s="15"/>
      <c r="AW562" s="15"/>
      <c r="AX562" s="15"/>
      <c r="AY562" s="15"/>
      <c r="AZ562" s="15"/>
      <c r="BA562" s="15"/>
      <c r="BB562" s="15"/>
      <c r="BC562" s="15"/>
      <c r="BD562" s="15"/>
      <c r="BE562" s="15"/>
      <c r="BF562" s="15"/>
      <c r="BG562" s="15"/>
      <c r="BH562" s="15"/>
      <c r="BI562" s="15"/>
    </row>
    <row r="563" spans="1:61" ht="15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7"/>
      <c r="O563" s="17"/>
      <c r="P563" s="15"/>
      <c r="Q563" s="15"/>
      <c r="R563" s="15"/>
      <c r="S563" s="15"/>
      <c r="T563" s="15"/>
      <c r="U563" s="15"/>
      <c r="V563" s="17"/>
      <c r="W563" s="17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  <c r="AN563" s="15"/>
      <c r="AO563" s="15"/>
      <c r="AP563" s="15"/>
      <c r="AQ563" s="15"/>
      <c r="AR563" s="15"/>
      <c r="AS563" s="15"/>
      <c r="AT563" s="15"/>
      <c r="AU563" s="15"/>
      <c r="AV563" s="15"/>
      <c r="AW563" s="15"/>
      <c r="AX563" s="15"/>
      <c r="AY563" s="15"/>
      <c r="AZ563" s="15"/>
      <c r="BA563" s="15"/>
      <c r="BB563" s="15"/>
      <c r="BC563" s="15"/>
      <c r="BD563" s="15"/>
      <c r="BE563" s="15"/>
      <c r="BF563" s="15"/>
      <c r="BG563" s="15"/>
      <c r="BH563" s="15"/>
      <c r="BI563" s="15"/>
    </row>
    <row r="564" spans="1:61" ht="15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7"/>
      <c r="O564" s="17"/>
      <c r="P564" s="15"/>
      <c r="Q564" s="15"/>
      <c r="R564" s="15"/>
      <c r="S564" s="15"/>
      <c r="T564" s="15"/>
      <c r="U564" s="15"/>
      <c r="V564" s="17"/>
      <c r="W564" s="17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  <c r="AO564" s="15"/>
      <c r="AP564" s="15"/>
      <c r="AQ564" s="15"/>
      <c r="AR564" s="15"/>
      <c r="AS564" s="15"/>
      <c r="AT564" s="15"/>
      <c r="AU564" s="15"/>
      <c r="AV564" s="15"/>
      <c r="AW564" s="15"/>
      <c r="AX564" s="15"/>
      <c r="AY564" s="15"/>
      <c r="AZ564" s="15"/>
      <c r="BA564" s="15"/>
      <c r="BB564" s="15"/>
      <c r="BC564" s="15"/>
      <c r="BD564" s="15"/>
      <c r="BE564" s="15"/>
      <c r="BF564" s="15"/>
      <c r="BG564" s="15"/>
      <c r="BH564" s="15"/>
      <c r="BI564" s="15"/>
    </row>
    <row r="565" spans="1:61" ht="15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7"/>
      <c r="O565" s="17"/>
      <c r="P565" s="15"/>
      <c r="Q565" s="15"/>
      <c r="R565" s="15"/>
      <c r="S565" s="15"/>
      <c r="T565" s="15"/>
      <c r="U565" s="15"/>
      <c r="V565" s="17"/>
      <c r="W565" s="17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  <c r="AO565" s="15"/>
      <c r="AP565" s="15"/>
      <c r="AQ565" s="15"/>
      <c r="AR565" s="15"/>
      <c r="AS565" s="15"/>
      <c r="AT565" s="15"/>
      <c r="AU565" s="15"/>
      <c r="AV565" s="15"/>
      <c r="AW565" s="15"/>
      <c r="AX565" s="15"/>
      <c r="AY565" s="15"/>
      <c r="AZ565" s="15"/>
      <c r="BA565" s="15"/>
      <c r="BB565" s="15"/>
      <c r="BC565" s="15"/>
      <c r="BD565" s="15"/>
      <c r="BE565" s="15"/>
      <c r="BF565" s="15"/>
      <c r="BG565" s="15"/>
      <c r="BH565" s="15"/>
      <c r="BI565" s="15"/>
    </row>
    <row r="566" spans="1:61" ht="15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7"/>
      <c r="O566" s="17"/>
      <c r="P566" s="15"/>
      <c r="Q566" s="15"/>
      <c r="R566" s="15"/>
      <c r="S566" s="15"/>
      <c r="T566" s="15"/>
      <c r="U566" s="15"/>
      <c r="V566" s="17"/>
      <c r="W566" s="17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  <c r="AO566" s="15"/>
      <c r="AP566" s="15"/>
      <c r="AQ566" s="15"/>
      <c r="AR566" s="15"/>
      <c r="AS566" s="15"/>
      <c r="AT566" s="15"/>
      <c r="AU566" s="15"/>
      <c r="AV566" s="15"/>
      <c r="AW566" s="15"/>
      <c r="AX566" s="15"/>
      <c r="AY566" s="15"/>
      <c r="AZ566" s="15"/>
      <c r="BA566" s="15"/>
      <c r="BB566" s="15"/>
      <c r="BC566" s="15"/>
      <c r="BD566" s="15"/>
      <c r="BE566" s="15"/>
      <c r="BF566" s="15"/>
      <c r="BG566" s="15"/>
      <c r="BH566" s="15"/>
      <c r="BI566" s="15"/>
    </row>
    <row r="567" spans="1:61" ht="15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7"/>
      <c r="O567" s="17"/>
      <c r="P567" s="15"/>
      <c r="Q567" s="15"/>
      <c r="R567" s="15"/>
      <c r="S567" s="15"/>
      <c r="T567" s="15"/>
      <c r="U567" s="15"/>
      <c r="V567" s="17"/>
      <c r="W567" s="17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  <c r="AO567" s="15"/>
      <c r="AP567" s="15"/>
      <c r="AQ567" s="15"/>
      <c r="AR567" s="15"/>
      <c r="AS567" s="15"/>
      <c r="AT567" s="15"/>
      <c r="AU567" s="15"/>
      <c r="AV567" s="15"/>
      <c r="AW567" s="15"/>
      <c r="AX567" s="15"/>
      <c r="AY567" s="15"/>
      <c r="AZ567" s="15"/>
      <c r="BA567" s="15"/>
      <c r="BB567" s="15"/>
      <c r="BC567" s="15"/>
      <c r="BD567" s="15"/>
      <c r="BE567" s="15"/>
      <c r="BF567" s="15"/>
      <c r="BG567" s="15"/>
      <c r="BH567" s="15"/>
      <c r="BI567" s="15"/>
    </row>
    <row r="568" spans="1:61" ht="15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7"/>
      <c r="O568" s="17"/>
      <c r="P568" s="15"/>
      <c r="Q568" s="15"/>
      <c r="R568" s="15"/>
      <c r="S568" s="15"/>
      <c r="T568" s="15"/>
      <c r="U568" s="15"/>
      <c r="V568" s="17"/>
      <c r="W568" s="17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  <c r="AO568" s="15"/>
      <c r="AP568" s="15"/>
      <c r="AQ568" s="15"/>
      <c r="AR568" s="15"/>
      <c r="AS568" s="15"/>
      <c r="AT568" s="15"/>
      <c r="AU568" s="15"/>
      <c r="AV568" s="15"/>
      <c r="AW568" s="15"/>
      <c r="AX568" s="15"/>
      <c r="AY568" s="15"/>
      <c r="AZ568" s="15"/>
      <c r="BA568" s="15"/>
      <c r="BB568" s="15"/>
      <c r="BC568" s="15"/>
      <c r="BD568" s="15"/>
      <c r="BE568" s="15"/>
      <c r="BF568" s="15"/>
      <c r="BG568" s="15"/>
      <c r="BH568" s="15"/>
      <c r="BI568" s="15"/>
    </row>
    <row r="569" spans="1:61" ht="15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7"/>
      <c r="O569" s="17"/>
      <c r="P569" s="15"/>
      <c r="Q569" s="15"/>
      <c r="R569" s="15"/>
      <c r="S569" s="15"/>
      <c r="T569" s="15"/>
      <c r="U569" s="15"/>
      <c r="V569" s="17"/>
      <c r="W569" s="17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  <c r="AN569" s="15"/>
      <c r="AO569" s="15"/>
      <c r="AP569" s="15"/>
      <c r="AQ569" s="15"/>
      <c r="AR569" s="15"/>
      <c r="AS569" s="15"/>
      <c r="AT569" s="15"/>
      <c r="AU569" s="15"/>
      <c r="AV569" s="15"/>
      <c r="AW569" s="15"/>
      <c r="AX569" s="15"/>
      <c r="AY569" s="15"/>
      <c r="AZ569" s="15"/>
      <c r="BA569" s="15"/>
      <c r="BB569" s="15"/>
      <c r="BC569" s="15"/>
      <c r="BD569" s="15"/>
      <c r="BE569" s="15"/>
      <c r="BF569" s="15"/>
      <c r="BG569" s="15"/>
      <c r="BH569" s="15"/>
      <c r="BI569" s="15"/>
    </row>
    <row r="570" spans="1:61" ht="15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7"/>
      <c r="O570" s="17"/>
      <c r="P570" s="15"/>
      <c r="Q570" s="15"/>
      <c r="R570" s="15"/>
      <c r="S570" s="15"/>
      <c r="T570" s="15"/>
      <c r="U570" s="15"/>
      <c r="V570" s="17"/>
      <c r="W570" s="17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  <c r="AO570" s="15"/>
      <c r="AP570" s="15"/>
      <c r="AQ570" s="15"/>
      <c r="AR570" s="15"/>
      <c r="AS570" s="15"/>
      <c r="AT570" s="15"/>
      <c r="AU570" s="15"/>
      <c r="AV570" s="15"/>
      <c r="AW570" s="15"/>
      <c r="AX570" s="15"/>
      <c r="AY570" s="15"/>
      <c r="AZ570" s="15"/>
      <c r="BA570" s="15"/>
      <c r="BB570" s="15"/>
      <c r="BC570" s="15"/>
      <c r="BD570" s="15"/>
      <c r="BE570" s="15"/>
      <c r="BF570" s="15"/>
      <c r="BG570" s="15"/>
      <c r="BH570" s="15"/>
      <c r="BI570" s="15"/>
    </row>
    <row r="571" spans="1:61" ht="15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7"/>
      <c r="O571" s="17"/>
      <c r="P571" s="15"/>
      <c r="Q571" s="15"/>
      <c r="R571" s="15"/>
      <c r="S571" s="15"/>
      <c r="T571" s="15"/>
      <c r="U571" s="15"/>
      <c r="V571" s="17"/>
      <c r="W571" s="17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  <c r="AN571" s="15"/>
      <c r="AO571" s="15"/>
      <c r="AP571" s="15"/>
      <c r="AQ571" s="15"/>
      <c r="AR571" s="15"/>
      <c r="AS571" s="15"/>
      <c r="AT571" s="15"/>
      <c r="AU571" s="15"/>
      <c r="AV571" s="15"/>
      <c r="AW571" s="15"/>
      <c r="AX571" s="15"/>
      <c r="AY571" s="15"/>
      <c r="AZ571" s="15"/>
      <c r="BA571" s="15"/>
      <c r="BB571" s="15"/>
      <c r="BC571" s="15"/>
      <c r="BD571" s="15"/>
      <c r="BE571" s="15"/>
      <c r="BF571" s="15"/>
      <c r="BG571" s="15"/>
      <c r="BH571" s="15"/>
      <c r="BI571" s="15"/>
    </row>
    <row r="572" spans="1:61" ht="15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7"/>
      <c r="O572" s="17"/>
      <c r="P572" s="15"/>
      <c r="Q572" s="15"/>
      <c r="R572" s="15"/>
      <c r="S572" s="15"/>
      <c r="T572" s="15"/>
      <c r="U572" s="15"/>
      <c r="V572" s="17"/>
      <c r="W572" s="17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  <c r="AN572" s="15"/>
      <c r="AO572" s="15"/>
      <c r="AP572" s="15"/>
      <c r="AQ572" s="15"/>
      <c r="AR572" s="15"/>
      <c r="AS572" s="15"/>
      <c r="AT572" s="15"/>
      <c r="AU572" s="15"/>
      <c r="AV572" s="15"/>
      <c r="AW572" s="15"/>
      <c r="AX572" s="15"/>
      <c r="AY572" s="15"/>
      <c r="AZ572" s="15"/>
      <c r="BA572" s="15"/>
      <c r="BB572" s="15"/>
      <c r="BC572" s="15"/>
      <c r="BD572" s="15"/>
      <c r="BE572" s="15"/>
      <c r="BF572" s="15"/>
      <c r="BG572" s="15"/>
      <c r="BH572" s="15"/>
      <c r="BI572" s="15"/>
    </row>
    <row r="573" spans="1:61" ht="15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7"/>
      <c r="O573" s="17"/>
      <c r="P573" s="15"/>
      <c r="Q573" s="15"/>
      <c r="R573" s="15"/>
      <c r="S573" s="15"/>
      <c r="T573" s="15"/>
      <c r="U573" s="15"/>
      <c r="V573" s="17"/>
      <c r="W573" s="17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  <c r="AN573" s="15"/>
      <c r="AO573" s="15"/>
      <c r="AP573" s="15"/>
      <c r="AQ573" s="15"/>
      <c r="AR573" s="15"/>
      <c r="AS573" s="15"/>
      <c r="AT573" s="15"/>
      <c r="AU573" s="15"/>
      <c r="AV573" s="15"/>
      <c r="AW573" s="15"/>
      <c r="AX573" s="15"/>
      <c r="AY573" s="15"/>
      <c r="AZ573" s="15"/>
      <c r="BA573" s="15"/>
      <c r="BB573" s="15"/>
      <c r="BC573" s="15"/>
      <c r="BD573" s="15"/>
      <c r="BE573" s="15"/>
      <c r="BF573" s="15"/>
      <c r="BG573" s="15"/>
      <c r="BH573" s="15"/>
      <c r="BI573" s="15"/>
    </row>
    <row r="574" spans="1:61" ht="15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7"/>
      <c r="O574" s="17"/>
      <c r="P574" s="15"/>
      <c r="Q574" s="15"/>
      <c r="R574" s="15"/>
      <c r="S574" s="15"/>
      <c r="T574" s="15"/>
      <c r="U574" s="15"/>
      <c r="V574" s="17"/>
      <c r="W574" s="17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  <c r="AN574" s="15"/>
      <c r="AO574" s="15"/>
      <c r="AP574" s="15"/>
      <c r="AQ574" s="15"/>
      <c r="AR574" s="15"/>
      <c r="AS574" s="15"/>
      <c r="AT574" s="15"/>
      <c r="AU574" s="15"/>
      <c r="AV574" s="15"/>
      <c r="AW574" s="15"/>
      <c r="AX574" s="15"/>
      <c r="AY574" s="15"/>
      <c r="AZ574" s="15"/>
      <c r="BA574" s="15"/>
      <c r="BB574" s="15"/>
      <c r="BC574" s="15"/>
      <c r="BD574" s="15"/>
      <c r="BE574" s="15"/>
      <c r="BF574" s="15"/>
      <c r="BG574" s="15"/>
      <c r="BH574" s="15"/>
      <c r="BI574" s="15"/>
    </row>
    <row r="575" spans="1:61" ht="15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7"/>
      <c r="O575" s="17"/>
      <c r="P575" s="15"/>
      <c r="Q575" s="15"/>
      <c r="R575" s="15"/>
      <c r="S575" s="15"/>
      <c r="T575" s="15"/>
      <c r="U575" s="15"/>
      <c r="V575" s="17"/>
      <c r="W575" s="17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  <c r="AN575" s="15"/>
      <c r="AO575" s="15"/>
      <c r="AP575" s="15"/>
      <c r="AQ575" s="15"/>
      <c r="AR575" s="15"/>
      <c r="AS575" s="15"/>
      <c r="AT575" s="15"/>
      <c r="AU575" s="15"/>
      <c r="AV575" s="15"/>
      <c r="AW575" s="15"/>
      <c r="AX575" s="15"/>
      <c r="AY575" s="15"/>
      <c r="AZ575" s="15"/>
      <c r="BA575" s="15"/>
      <c r="BB575" s="15"/>
      <c r="BC575" s="15"/>
      <c r="BD575" s="15"/>
      <c r="BE575" s="15"/>
      <c r="BF575" s="15"/>
      <c r="BG575" s="15"/>
      <c r="BH575" s="15"/>
      <c r="BI575" s="15"/>
    </row>
    <row r="576" spans="1:61" ht="15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7"/>
      <c r="O576" s="17"/>
      <c r="P576" s="15"/>
      <c r="Q576" s="15"/>
      <c r="R576" s="15"/>
      <c r="S576" s="15"/>
      <c r="T576" s="15"/>
      <c r="U576" s="15"/>
      <c r="V576" s="17"/>
      <c r="W576" s="17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  <c r="AN576" s="15"/>
      <c r="AO576" s="15"/>
      <c r="AP576" s="15"/>
      <c r="AQ576" s="15"/>
      <c r="AR576" s="15"/>
      <c r="AS576" s="15"/>
      <c r="AT576" s="15"/>
      <c r="AU576" s="15"/>
      <c r="AV576" s="15"/>
      <c r="AW576" s="15"/>
      <c r="AX576" s="15"/>
      <c r="AY576" s="15"/>
      <c r="AZ576" s="15"/>
      <c r="BA576" s="15"/>
      <c r="BB576" s="15"/>
      <c r="BC576" s="15"/>
      <c r="BD576" s="15"/>
      <c r="BE576" s="15"/>
      <c r="BF576" s="15"/>
      <c r="BG576" s="15"/>
      <c r="BH576" s="15"/>
      <c r="BI576" s="15"/>
    </row>
    <row r="577" spans="1:61" ht="15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7"/>
      <c r="O577" s="17"/>
      <c r="P577" s="15"/>
      <c r="Q577" s="15"/>
      <c r="R577" s="15"/>
      <c r="S577" s="15"/>
      <c r="T577" s="15"/>
      <c r="U577" s="15"/>
      <c r="V577" s="17"/>
      <c r="W577" s="17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  <c r="AM577" s="15"/>
      <c r="AN577" s="15"/>
      <c r="AO577" s="15"/>
      <c r="AP577" s="15"/>
      <c r="AQ577" s="15"/>
      <c r="AR577" s="15"/>
      <c r="AS577" s="15"/>
      <c r="AT577" s="15"/>
      <c r="AU577" s="15"/>
      <c r="AV577" s="15"/>
      <c r="AW577" s="15"/>
      <c r="AX577" s="15"/>
      <c r="AY577" s="15"/>
      <c r="AZ577" s="15"/>
      <c r="BA577" s="15"/>
      <c r="BB577" s="15"/>
      <c r="BC577" s="15"/>
      <c r="BD577" s="15"/>
      <c r="BE577" s="15"/>
      <c r="BF577" s="15"/>
      <c r="BG577" s="15"/>
      <c r="BH577" s="15"/>
      <c r="BI577" s="15"/>
    </row>
    <row r="578" spans="1:61" ht="15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7"/>
      <c r="O578" s="17"/>
      <c r="P578" s="15"/>
      <c r="Q578" s="15"/>
      <c r="R578" s="15"/>
      <c r="S578" s="15"/>
      <c r="T578" s="15"/>
      <c r="U578" s="15"/>
      <c r="V578" s="17"/>
      <c r="W578" s="17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  <c r="AN578" s="15"/>
      <c r="AO578" s="15"/>
      <c r="AP578" s="15"/>
      <c r="AQ578" s="15"/>
      <c r="AR578" s="15"/>
      <c r="AS578" s="15"/>
      <c r="AT578" s="15"/>
      <c r="AU578" s="15"/>
      <c r="AV578" s="15"/>
      <c r="AW578" s="15"/>
      <c r="AX578" s="15"/>
      <c r="AY578" s="15"/>
      <c r="AZ578" s="15"/>
      <c r="BA578" s="15"/>
      <c r="BB578" s="15"/>
      <c r="BC578" s="15"/>
      <c r="BD578" s="15"/>
      <c r="BE578" s="15"/>
      <c r="BF578" s="15"/>
      <c r="BG578" s="15"/>
      <c r="BH578" s="15"/>
      <c r="BI578" s="15"/>
    </row>
    <row r="579" spans="1:61" ht="15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7"/>
      <c r="O579" s="17"/>
      <c r="P579" s="15"/>
      <c r="Q579" s="15"/>
      <c r="R579" s="15"/>
      <c r="S579" s="15"/>
      <c r="T579" s="15"/>
      <c r="U579" s="15"/>
      <c r="V579" s="17"/>
      <c r="W579" s="17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  <c r="AM579" s="15"/>
      <c r="AN579" s="15"/>
      <c r="AO579" s="15"/>
      <c r="AP579" s="15"/>
      <c r="AQ579" s="15"/>
      <c r="AR579" s="15"/>
      <c r="AS579" s="15"/>
      <c r="AT579" s="15"/>
      <c r="AU579" s="15"/>
      <c r="AV579" s="15"/>
      <c r="AW579" s="15"/>
      <c r="AX579" s="15"/>
      <c r="AY579" s="15"/>
      <c r="AZ579" s="15"/>
      <c r="BA579" s="15"/>
      <c r="BB579" s="15"/>
      <c r="BC579" s="15"/>
      <c r="BD579" s="15"/>
      <c r="BE579" s="15"/>
      <c r="BF579" s="15"/>
      <c r="BG579" s="15"/>
      <c r="BH579" s="15"/>
      <c r="BI579" s="15"/>
    </row>
    <row r="580" spans="1:61" ht="15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7"/>
      <c r="O580" s="17"/>
      <c r="P580" s="15"/>
      <c r="Q580" s="15"/>
      <c r="R580" s="15"/>
      <c r="S580" s="15"/>
      <c r="T580" s="15"/>
      <c r="U580" s="15"/>
      <c r="V580" s="17"/>
      <c r="W580" s="17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  <c r="AO580" s="15"/>
      <c r="AP580" s="15"/>
      <c r="AQ580" s="15"/>
      <c r="AR580" s="15"/>
      <c r="AS580" s="15"/>
      <c r="AT580" s="15"/>
      <c r="AU580" s="15"/>
      <c r="AV580" s="15"/>
      <c r="AW580" s="15"/>
      <c r="AX580" s="15"/>
      <c r="AY580" s="15"/>
      <c r="AZ580" s="15"/>
      <c r="BA580" s="15"/>
      <c r="BB580" s="15"/>
      <c r="BC580" s="15"/>
      <c r="BD580" s="15"/>
      <c r="BE580" s="15"/>
      <c r="BF580" s="15"/>
      <c r="BG580" s="15"/>
      <c r="BH580" s="15"/>
      <c r="BI580" s="15"/>
    </row>
    <row r="581" spans="1:61" ht="15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7"/>
      <c r="O581" s="17"/>
      <c r="P581" s="15"/>
      <c r="Q581" s="15"/>
      <c r="R581" s="15"/>
      <c r="S581" s="15"/>
      <c r="T581" s="15"/>
      <c r="U581" s="15"/>
      <c r="V581" s="17"/>
      <c r="W581" s="17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  <c r="AM581" s="15"/>
      <c r="AN581" s="15"/>
      <c r="AO581" s="15"/>
      <c r="AP581" s="15"/>
      <c r="AQ581" s="15"/>
      <c r="AR581" s="15"/>
      <c r="AS581" s="15"/>
      <c r="AT581" s="15"/>
      <c r="AU581" s="15"/>
      <c r="AV581" s="15"/>
      <c r="AW581" s="15"/>
      <c r="AX581" s="15"/>
      <c r="AY581" s="15"/>
      <c r="AZ581" s="15"/>
      <c r="BA581" s="15"/>
      <c r="BB581" s="15"/>
      <c r="BC581" s="15"/>
      <c r="BD581" s="15"/>
      <c r="BE581" s="15"/>
      <c r="BF581" s="15"/>
      <c r="BG581" s="15"/>
      <c r="BH581" s="15"/>
      <c r="BI581" s="15"/>
    </row>
    <row r="582" spans="1:61" ht="15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7"/>
      <c r="O582" s="17"/>
      <c r="P582" s="15"/>
      <c r="Q582" s="15"/>
      <c r="R582" s="15"/>
      <c r="S582" s="15"/>
      <c r="T582" s="15"/>
      <c r="U582" s="15"/>
      <c r="V582" s="17"/>
      <c r="W582" s="17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  <c r="AN582" s="15"/>
      <c r="AO582" s="15"/>
      <c r="AP582" s="15"/>
      <c r="AQ582" s="15"/>
      <c r="AR582" s="15"/>
      <c r="AS582" s="15"/>
      <c r="AT582" s="15"/>
      <c r="AU582" s="15"/>
      <c r="AV582" s="15"/>
      <c r="AW582" s="15"/>
      <c r="AX582" s="15"/>
      <c r="AY582" s="15"/>
      <c r="AZ582" s="15"/>
      <c r="BA582" s="15"/>
      <c r="BB582" s="15"/>
      <c r="BC582" s="15"/>
      <c r="BD582" s="15"/>
      <c r="BE582" s="15"/>
      <c r="BF582" s="15"/>
      <c r="BG582" s="15"/>
      <c r="BH582" s="15"/>
      <c r="BI582" s="15"/>
    </row>
    <row r="583" spans="1:61" ht="15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7"/>
      <c r="O583" s="17"/>
      <c r="P583" s="15"/>
      <c r="Q583" s="15"/>
      <c r="R583" s="15"/>
      <c r="S583" s="15"/>
      <c r="T583" s="15"/>
      <c r="U583" s="15"/>
      <c r="V583" s="17"/>
      <c r="W583" s="17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  <c r="AM583" s="15"/>
      <c r="AN583" s="15"/>
      <c r="AO583" s="15"/>
      <c r="AP583" s="15"/>
      <c r="AQ583" s="15"/>
      <c r="AR583" s="15"/>
      <c r="AS583" s="15"/>
      <c r="AT583" s="15"/>
      <c r="AU583" s="15"/>
      <c r="AV583" s="15"/>
      <c r="AW583" s="15"/>
      <c r="AX583" s="15"/>
      <c r="AY583" s="15"/>
      <c r="AZ583" s="15"/>
      <c r="BA583" s="15"/>
      <c r="BB583" s="15"/>
      <c r="BC583" s="15"/>
      <c r="BD583" s="15"/>
      <c r="BE583" s="15"/>
      <c r="BF583" s="15"/>
      <c r="BG583" s="15"/>
      <c r="BH583" s="15"/>
      <c r="BI583" s="15"/>
    </row>
    <row r="584" spans="1:61" ht="15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7"/>
      <c r="O584" s="17"/>
      <c r="P584" s="15"/>
      <c r="Q584" s="15"/>
      <c r="R584" s="15"/>
      <c r="S584" s="15"/>
      <c r="T584" s="15"/>
      <c r="U584" s="15"/>
      <c r="V584" s="17"/>
      <c r="W584" s="17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  <c r="AN584" s="15"/>
      <c r="AO584" s="15"/>
      <c r="AP584" s="15"/>
      <c r="AQ584" s="15"/>
      <c r="AR584" s="15"/>
      <c r="AS584" s="15"/>
      <c r="AT584" s="15"/>
      <c r="AU584" s="15"/>
      <c r="AV584" s="15"/>
      <c r="AW584" s="15"/>
      <c r="AX584" s="15"/>
      <c r="AY584" s="15"/>
      <c r="AZ584" s="15"/>
      <c r="BA584" s="15"/>
      <c r="BB584" s="15"/>
      <c r="BC584" s="15"/>
      <c r="BD584" s="15"/>
      <c r="BE584" s="15"/>
      <c r="BF584" s="15"/>
      <c r="BG584" s="15"/>
      <c r="BH584" s="15"/>
      <c r="BI584" s="15"/>
    </row>
    <row r="585" spans="1:61" ht="15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7"/>
      <c r="O585" s="17"/>
      <c r="P585" s="15"/>
      <c r="Q585" s="15"/>
      <c r="R585" s="15"/>
      <c r="S585" s="15"/>
      <c r="T585" s="15"/>
      <c r="U585" s="15"/>
      <c r="V585" s="17"/>
      <c r="W585" s="17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  <c r="AM585" s="15"/>
      <c r="AN585" s="15"/>
      <c r="AO585" s="15"/>
      <c r="AP585" s="15"/>
      <c r="AQ585" s="15"/>
      <c r="AR585" s="15"/>
      <c r="AS585" s="15"/>
      <c r="AT585" s="15"/>
      <c r="AU585" s="15"/>
      <c r="AV585" s="15"/>
      <c r="AW585" s="15"/>
      <c r="AX585" s="15"/>
      <c r="AY585" s="15"/>
      <c r="AZ585" s="15"/>
      <c r="BA585" s="15"/>
      <c r="BB585" s="15"/>
      <c r="BC585" s="15"/>
      <c r="BD585" s="15"/>
      <c r="BE585" s="15"/>
      <c r="BF585" s="15"/>
      <c r="BG585" s="15"/>
      <c r="BH585" s="15"/>
      <c r="BI585" s="15"/>
    </row>
    <row r="586" spans="1:61" ht="15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7"/>
      <c r="O586" s="17"/>
      <c r="P586" s="15"/>
      <c r="Q586" s="15"/>
      <c r="R586" s="15"/>
      <c r="S586" s="15"/>
      <c r="T586" s="15"/>
      <c r="U586" s="15"/>
      <c r="V586" s="17"/>
      <c r="W586" s="17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  <c r="AN586" s="15"/>
      <c r="AO586" s="15"/>
      <c r="AP586" s="15"/>
      <c r="AQ586" s="15"/>
      <c r="AR586" s="15"/>
      <c r="AS586" s="15"/>
      <c r="AT586" s="15"/>
      <c r="AU586" s="15"/>
      <c r="AV586" s="15"/>
      <c r="AW586" s="15"/>
      <c r="AX586" s="15"/>
      <c r="AY586" s="15"/>
      <c r="AZ586" s="15"/>
      <c r="BA586" s="15"/>
      <c r="BB586" s="15"/>
      <c r="BC586" s="15"/>
      <c r="BD586" s="15"/>
      <c r="BE586" s="15"/>
      <c r="BF586" s="15"/>
      <c r="BG586" s="15"/>
      <c r="BH586" s="15"/>
      <c r="BI586" s="15"/>
    </row>
    <row r="587" spans="1:61" ht="15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7"/>
      <c r="O587" s="17"/>
      <c r="P587" s="15"/>
      <c r="Q587" s="15"/>
      <c r="R587" s="15"/>
      <c r="S587" s="15"/>
      <c r="T587" s="15"/>
      <c r="U587" s="15"/>
      <c r="V587" s="17"/>
      <c r="W587" s="17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  <c r="AM587" s="15"/>
      <c r="AN587" s="15"/>
      <c r="AO587" s="15"/>
      <c r="AP587" s="15"/>
      <c r="AQ587" s="15"/>
      <c r="AR587" s="15"/>
      <c r="AS587" s="15"/>
      <c r="AT587" s="15"/>
      <c r="AU587" s="15"/>
      <c r="AV587" s="15"/>
      <c r="AW587" s="15"/>
      <c r="AX587" s="15"/>
      <c r="AY587" s="15"/>
      <c r="AZ587" s="15"/>
      <c r="BA587" s="15"/>
      <c r="BB587" s="15"/>
      <c r="BC587" s="15"/>
      <c r="BD587" s="15"/>
      <c r="BE587" s="15"/>
      <c r="BF587" s="15"/>
      <c r="BG587" s="15"/>
      <c r="BH587" s="15"/>
      <c r="BI587" s="15"/>
    </row>
    <row r="588" spans="1:61" ht="15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7"/>
      <c r="O588" s="17"/>
      <c r="P588" s="15"/>
      <c r="Q588" s="15"/>
      <c r="R588" s="15"/>
      <c r="S588" s="15"/>
      <c r="T588" s="15"/>
      <c r="U588" s="15"/>
      <c r="V588" s="17"/>
      <c r="W588" s="17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  <c r="AO588" s="15"/>
      <c r="AP588" s="15"/>
      <c r="AQ588" s="15"/>
      <c r="AR588" s="15"/>
      <c r="AS588" s="15"/>
      <c r="AT588" s="15"/>
      <c r="AU588" s="15"/>
      <c r="AV588" s="15"/>
      <c r="AW588" s="15"/>
      <c r="AX588" s="15"/>
      <c r="AY588" s="15"/>
      <c r="AZ588" s="15"/>
      <c r="BA588" s="15"/>
      <c r="BB588" s="15"/>
      <c r="BC588" s="15"/>
      <c r="BD588" s="15"/>
      <c r="BE588" s="15"/>
      <c r="BF588" s="15"/>
      <c r="BG588" s="15"/>
      <c r="BH588" s="15"/>
      <c r="BI588" s="15"/>
    </row>
    <row r="589" spans="1:61" ht="15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7"/>
      <c r="O589" s="17"/>
      <c r="P589" s="15"/>
      <c r="Q589" s="15"/>
      <c r="R589" s="15"/>
      <c r="S589" s="15"/>
      <c r="T589" s="15"/>
      <c r="U589" s="15"/>
      <c r="V589" s="17"/>
      <c r="W589" s="17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  <c r="AN589" s="15"/>
      <c r="AO589" s="15"/>
      <c r="AP589" s="15"/>
      <c r="AQ589" s="15"/>
      <c r="AR589" s="15"/>
      <c r="AS589" s="15"/>
      <c r="AT589" s="15"/>
      <c r="AU589" s="15"/>
      <c r="AV589" s="15"/>
      <c r="AW589" s="15"/>
      <c r="AX589" s="15"/>
      <c r="AY589" s="15"/>
      <c r="AZ589" s="15"/>
      <c r="BA589" s="15"/>
      <c r="BB589" s="15"/>
      <c r="BC589" s="15"/>
      <c r="BD589" s="15"/>
      <c r="BE589" s="15"/>
      <c r="BF589" s="15"/>
      <c r="BG589" s="15"/>
      <c r="BH589" s="15"/>
      <c r="BI589" s="15"/>
    </row>
    <row r="590" spans="1:61" ht="15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7"/>
      <c r="O590" s="17"/>
      <c r="P590" s="15"/>
      <c r="Q590" s="15"/>
      <c r="R590" s="15"/>
      <c r="S590" s="15"/>
      <c r="T590" s="15"/>
      <c r="U590" s="15"/>
      <c r="V590" s="17"/>
      <c r="W590" s="17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  <c r="AN590" s="15"/>
      <c r="AO590" s="15"/>
      <c r="AP590" s="15"/>
      <c r="AQ590" s="15"/>
      <c r="AR590" s="15"/>
      <c r="AS590" s="15"/>
      <c r="AT590" s="15"/>
      <c r="AU590" s="15"/>
      <c r="AV590" s="15"/>
      <c r="AW590" s="15"/>
      <c r="AX590" s="15"/>
      <c r="AY590" s="15"/>
      <c r="AZ590" s="15"/>
      <c r="BA590" s="15"/>
      <c r="BB590" s="15"/>
      <c r="BC590" s="15"/>
      <c r="BD590" s="15"/>
      <c r="BE590" s="15"/>
      <c r="BF590" s="15"/>
      <c r="BG590" s="15"/>
      <c r="BH590" s="15"/>
      <c r="BI590" s="15"/>
    </row>
    <row r="591" spans="1:61" ht="15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7"/>
      <c r="O591" s="17"/>
      <c r="P591" s="15"/>
      <c r="Q591" s="15"/>
      <c r="R591" s="15"/>
      <c r="S591" s="15"/>
      <c r="T591" s="15"/>
      <c r="U591" s="15"/>
      <c r="V591" s="17"/>
      <c r="W591" s="17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  <c r="AN591" s="15"/>
      <c r="AO591" s="15"/>
      <c r="AP591" s="15"/>
      <c r="AQ591" s="15"/>
      <c r="AR591" s="15"/>
      <c r="AS591" s="15"/>
      <c r="AT591" s="15"/>
      <c r="AU591" s="15"/>
      <c r="AV591" s="15"/>
      <c r="AW591" s="15"/>
      <c r="AX591" s="15"/>
      <c r="AY591" s="15"/>
      <c r="AZ591" s="15"/>
      <c r="BA591" s="15"/>
      <c r="BB591" s="15"/>
      <c r="BC591" s="15"/>
      <c r="BD591" s="15"/>
      <c r="BE591" s="15"/>
      <c r="BF591" s="15"/>
      <c r="BG591" s="15"/>
      <c r="BH591" s="15"/>
      <c r="BI591" s="15"/>
    </row>
    <row r="592" spans="1:61" ht="15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7"/>
      <c r="O592" s="17"/>
      <c r="P592" s="15"/>
      <c r="Q592" s="15"/>
      <c r="R592" s="15"/>
      <c r="S592" s="15"/>
      <c r="T592" s="15"/>
      <c r="U592" s="15"/>
      <c r="V592" s="17"/>
      <c r="W592" s="17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  <c r="AM592" s="15"/>
      <c r="AN592" s="15"/>
      <c r="AO592" s="15"/>
      <c r="AP592" s="15"/>
      <c r="AQ592" s="15"/>
      <c r="AR592" s="15"/>
      <c r="AS592" s="15"/>
      <c r="AT592" s="15"/>
      <c r="AU592" s="15"/>
      <c r="AV592" s="15"/>
      <c r="AW592" s="15"/>
      <c r="AX592" s="15"/>
      <c r="AY592" s="15"/>
      <c r="AZ592" s="15"/>
      <c r="BA592" s="15"/>
      <c r="BB592" s="15"/>
      <c r="BC592" s="15"/>
      <c r="BD592" s="15"/>
      <c r="BE592" s="15"/>
      <c r="BF592" s="15"/>
      <c r="BG592" s="15"/>
      <c r="BH592" s="15"/>
      <c r="BI592" s="15"/>
    </row>
    <row r="593" spans="1:61" ht="15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7"/>
      <c r="O593" s="17"/>
      <c r="P593" s="15"/>
      <c r="Q593" s="15"/>
      <c r="R593" s="15"/>
      <c r="S593" s="15"/>
      <c r="T593" s="15"/>
      <c r="U593" s="15"/>
      <c r="V593" s="17"/>
      <c r="W593" s="17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  <c r="AM593" s="15"/>
      <c r="AN593" s="15"/>
      <c r="AO593" s="15"/>
      <c r="AP593" s="15"/>
      <c r="AQ593" s="15"/>
      <c r="AR593" s="15"/>
      <c r="AS593" s="15"/>
      <c r="AT593" s="15"/>
      <c r="AU593" s="15"/>
      <c r="AV593" s="15"/>
      <c r="AW593" s="15"/>
      <c r="AX593" s="15"/>
      <c r="AY593" s="15"/>
      <c r="AZ593" s="15"/>
      <c r="BA593" s="15"/>
      <c r="BB593" s="15"/>
      <c r="BC593" s="15"/>
      <c r="BD593" s="15"/>
      <c r="BE593" s="15"/>
      <c r="BF593" s="15"/>
      <c r="BG593" s="15"/>
      <c r="BH593" s="15"/>
      <c r="BI593" s="15"/>
    </row>
    <row r="594" spans="1:61" ht="15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7"/>
      <c r="O594" s="17"/>
      <c r="P594" s="15"/>
      <c r="Q594" s="15"/>
      <c r="R594" s="15"/>
      <c r="S594" s="15"/>
      <c r="T594" s="15"/>
      <c r="U594" s="15"/>
      <c r="V594" s="17"/>
      <c r="W594" s="17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  <c r="AN594" s="15"/>
      <c r="AO594" s="15"/>
      <c r="AP594" s="15"/>
      <c r="AQ594" s="15"/>
      <c r="AR594" s="15"/>
      <c r="AS594" s="15"/>
      <c r="AT594" s="15"/>
      <c r="AU594" s="15"/>
      <c r="AV594" s="15"/>
      <c r="AW594" s="15"/>
      <c r="AX594" s="15"/>
      <c r="AY594" s="15"/>
      <c r="AZ594" s="15"/>
      <c r="BA594" s="15"/>
      <c r="BB594" s="15"/>
      <c r="BC594" s="15"/>
      <c r="BD594" s="15"/>
      <c r="BE594" s="15"/>
      <c r="BF594" s="15"/>
      <c r="BG594" s="15"/>
      <c r="BH594" s="15"/>
      <c r="BI594" s="15"/>
    </row>
    <row r="595" spans="1:61" ht="15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7"/>
      <c r="O595" s="17"/>
      <c r="P595" s="15"/>
      <c r="Q595" s="15"/>
      <c r="R595" s="15"/>
      <c r="S595" s="15"/>
      <c r="T595" s="15"/>
      <c r="U595" s="15"/>
      <c r="V595" s="17"/>
      <c r="W595" s="17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  <c r="AM595" s="15"/>
      <c r="AN595" s="15"/>
      <c r="AO595" s="15"/>
      <c r="AP595" s="15"/>
      <c r="AQ595" s="15"/>
      <c r="AR595" s="15"/>
      <c r="AS595" s="15"/>
      <c r="AT595" s="15"/>
      <c r="AU595" s="15"/>
      <c r="AV595" s="15"/>
      <c r="AW595" s="15"/>
      <c r="AX595" s="15"/>
      <c r="AY595" s="15"/>
      <c r="AZ595" s="15"/>
      <c r="BA595" s="15"/>
      <c r="BB595" s="15"/>
      <c r="BC595" s="15"/>
      <c r="BD595" s="15"/>
      <c r="BE595" s="15"/>
      <c r="BF595" s="15"/>
      <c r="BG595" s="15"/>
      <c r="BH595" s="15"/>
      <c r="BI595" s="15"/>
    </row>
    <row r="596" spans="1:61" ht="15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7"/>
      <c r="O596" s="17"/>
      <c r="P596" s="15"/>
      <c r="Q596" s="15"/>
      <c r="R596" s="15"/>
      <c r="S596" s="15"/>
      <c r="T596" s="15"/>
      <c r="U596" s="15"/>
      <c r="V596" s="17"/>
      <c r="W596" s="17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  <c r="AM596" s="15"/>
      <c r="AN596" s="15"/>
      <c r="AO596" s="15"/>
      <c r="AP596" s="15"/>
      <c r="AQ596" s="15"/>
      <c r="AR596" s="15"/>
      <c r="AS596" s="15"/>
      <c r="AT596" s="15"/>
      <c r="AU596" s="15"/>
      <c r="AV596" s="15"/>
      <c r="AW596" s="15"/>
      <c r="AX596" s="15"/>
      <c r="AY596" s="15"/>
      <c r="AZ596" s="15"/>
      <c r="BA596" s="15"/>
      <c r="BB596" s="15"/>
      <c r="BC596" s="15"/>
      <c r="BD596" s="15"/>
      <c r="BE596" s="15"/>
      <c r="BF596" s="15"/>
      <c r="BG596" s="15"/>
      <c r="BH596" s="15"/>
      <c r="BI596" s="15"/>
    </row>
    <row r="597" spans="1:61" ht="15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7"/>
      <c r="O597" s="17"/>
      <c r="P597" s="15"/>
      <c r="Q597" s="15"/>
      <c r="R597" s="15"/>
      <c r="S597" s="15"/>
      <c r="T597" s="15"/>
      <c r="U597" s="15"/>
      <c r="V597" s="17"/>
      <c r="W597" s="17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  <c r="AO597" s="15"/>
      <c r="AP597" s="15"/>
      <c r="AQ597" s="15"/>
      <c r="AR597" s="15"/>
      <c r="AS597" s="15"/>
      <c r="AT597" s="15"/>
      <c r="AU597" s="15"/>
      <c r="AV597" s="15"/>
      <c r="AW597" s="15"/>
      <c r="AX597" s="15"/>
      <c r="AY597" s="15"/>
      <c r="AZ597" s="15"/>
      <c r="BA597" s="15"/>
      <c r="BB597" s="15"/>
      <c r="BC597" s="15"/>
      <c r="BD597" s="15"/>
      <c r="BE597" s="15"/>
      <c r="BF597" s="15"/>
      <c r="BG597" s="15"/>
      <c r="BH597" s="15"/>
      <c r="BI597" s="15"/>
    </row>
    <row r="598" spans="1:61" ht="15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7"/>
      <c r="O598" s="17"/>
      <c r="P598" s="15"/>
      <c r="Q598" s="15"/>
      <c r="R598" s="15"/>
      <c r="S598" s="15"/>
      <c r="T598" s="15"/>
      <c r="U598" s="15"/>
      <c r="V598" s="17"/>
      <c r="W598" s="17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  <c r="AM598" s="15"/>
      <c r="AN598" s="15"/>
      <c r="AO598" s="15"/>
      <c r="AP598" s="15"/>
      <c r="AQ598" s="15"/>
      <c r="AR598" s="15"/>
      <c r="AS598" s="15"/>
      <c r="AT598" s="15"/>
      <c r="AU598" s="15"/>
      <c r="AV598" s="15"/>
      <c r="AW598" s="15"/>
      <c r="AX598" s="15"/>
      <c r="AY598" s="15"/>
      <c r="AZ598" s="15"/>
      <c r="BA598" s="15"/>
      <c r="BB598" s="15"/>
      <c r="BC598" s="15"/>
      <c r="BD598" s="15"/>
      <c r="BE598" s="15"/>
      <c r="BF598" s="15"/>
      <c r="BG598" s="15"/>
      <c r="BH598" s="15"/>
      <c r="BI598" s="15"/>
    </row>
    <row r="599" spans="1:61" ht="15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7"/>
      <c r="O599" s="17"/>
      <c r="P599" s="15"/>
      <c r="Q599" s="15"/>
      <c r="R599" s="15"/>
      <c r="S599" s="15"/>
      <c r="T599" s="15"/>
      <c r="U599" s="15"/>
      <c r="V599" s="17"/>
      <c r="W599" s="17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  <c r="AM599" s="15"/>
      <c r="AN599" s="15"/>
      <c r="AO599" s="15"/>
      <c r="AP599" s="15"/>
      <c r="AQ599" s="15"/>
      <c r="AR599" s="15"/>
      <c r="AS599" s="15"/>
      <c r="AT599" s="15"/>
      <c r="AU599" s="15"/>
      <c r="AV599" s="15"/>
      <c r="AW599" s="15"/>
      <c r="AX599" s="15"/>
      <c r="AY599" s="15"/>
      <c r="AZ599" s="15"/>
      <c r="BA599" s="15"/>
      <c r="BB599" s="15"/>
      <c r="BC599" s="15"/>
      <c r="BD599" s="15"/>
      <c r="BE599" s="15"/>
      <c r="BF599" s="15"/>
      <c r="BG599" s="15"/>
      <c r="BH599" s="15"/>
      <c r="BI599" s="15"/>
    </row>
    <row r="600" spans="1:61" ht="15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7"/>
      <c r="O600" s="17"/>
      <c r="P600" s="15"/>
      <c r="Q600" s="15"/>
      <c r="R600" s="15"/>
      <c r="S600" s="15"/>
      <c r="T600" s="15"/>
      <c r="U600" s="15"/>
      <c r="V600" s="17"/>
      <c r="W600" s="17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  <c r="AM600" s="15"/>
      <c r="AN600" s="15"/>
      <c r="AO600" s="15"/>
      <c r="AP600" s="15"/>
      <c r="AQ600" s="15"/>
      <c r="AR600" s="15"/>
      <c r="AS600" s="15"/>
      <c r="AT600" s="15"/>
      <c r="AU600" s="15"/>
      <c r="AV600" s="15"/>
      <c r="AW600" s="15"/>
      <c r="AX600" s="15"/>
      <c r="AY600" s="15"/>
      <c r="AZ600" s="15"/>
      <c r="BA600" s="15"/>
      <c r="BB600" s="15"/>
      <c r="BC600" s="15"/>
      <c r="BD600" s="15"/>
      <c r="BE600" s="15"/>
      <c r="BF600" s="15"/>
      <c r="BG600" s="15"/>
      <c r="BH600" s="15"/>
      <c r="BI600" s="15"/>
    </row>
    <row r="601" spans="1:61" ht="15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7"/>
      <c r="O601" s="17"/>
      <c r="P601" s="15"/>
      <c r="Q601" s="15"/>
      <c r="R601" s="15"/>
      <c r="S601" s="15"/>
      <c r="T601" s="15"/>
      <c r="U601" s="15"/>
      <c r="V601" s="17"/>
      <c r="W601" s="17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  <c r="AN601" s="15"/>
      <c r="AO601" s="15"/>
      <c r="AP601" s="15"/>
      <c r="AQ601" s="15"/>
      <c r="AR601" s="15"/>
      <c r="AS601" s="15"/>
      <c r="AT601" s="15"/>
      <c r="AU601" s="15"/>
      <c r="AV601" s="15"/>
      <c r="AW601" s="15"/>
      <c r="AX601" s="15"/>
      <c r="AY601" s="15"/>
      <c r="AZ601" s="15"/>
      <c r="BA601" s="15"/>
      <c r="BB601" s="15"/>
      <c r="BC601" s="15"/>
      <c r="BD601" s="15"/>
      <c r="BE601" s="15"/>
      <c r="BF601" s="15"/>
      <c r="BG601" s="15"/>
      <c r="BH601" s="15"/>
      <c r="BI601" s="15"/>
    </row>
    <row r="602" spans="1:61" ht="15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7"/>
      <c r="O602" s="17"/>
      <c r="P602" s="15"/>
      <c r="Q602" s="15"/>
      <c r="R602" s="15"/>
      <c r="S602" s="15"/>
      <c r="T602" s="15"/>
      <c r="U602" s="15"/>
      <c r="V602" s="17"/>
      <c r="W602" s="17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  <c r="AM602" s="15"/>
      <c r="AN602" s="15"/>
      <c r="AO602" s="15"/>
      <c r="AP602" s="15"/>
      <c r="AQ602" s="15"/>
      <c r="AR602" s="15"/>
      <c r="AS602" s="15"/>
      <c r="AT602" s="15"/>
      <c r="AU602" s="15"/>
      <c r="AV602" s="15"/>
      <c r="AW602" s="15"/>
      <c r="AX602" s="15"/>
      <c r="AY602" s="15"/>
      <c r="AZ602" s="15"/>
      <c r="BA602" s="15"/>
      <c r="BB602" s="15"/>
      <c r="BC602" s="15"/>
      <c r="BD602" s="15"/>
      <c r="BE602" s="15"/>
      <c r="BF602" s="15"/>
      <c r="BG602" s="15"/>
      <c r="BH602" s="15"/>
      <c r="BI602" s="15"/>
    </row>
    <row r="603" spans="1:61" ht="15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7"/>
      <c r="O603" s="17"/>
      <c r="P603" s="15"/>
      <c r="Q603" s="15"/>
      <c r="R603" s="15"/>
      <c r="S603" s="15"/>
      <c r="T603" s="15"/>
      <c r="U603" s="15"/>
      <c r="V603" s="17"/>
      <c r="W603" s="17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  <c r="AM603" s="15"/>
      <c r="AN603" s="15"/>
      <c r="AO603" s="15"/>
      <c r="AP603" s="15"/>
      <c r="AQ603" s="15"/>
      <c r="AR603" s="15"/>
      <c r="AS603" s="15"/>
      <c r="AT603" s="15"/>
      <c r="AU603" s="15"/>
      <c r="AV603" s="15"/>
      <c r="AW603" s="15"/>
      <c r="AX603" s="15"/>
      <c r="AY603" s="15"/>
      <c r="AZ603" s="15"/>
      <c r="BA603" s="15"/>
      <c r="BB603" s="15"/>
      <c r="BC603" s="15"/>
      <c r="BD603" s="15"/>
      <c r="BE603" s="15"/>
      <c r="BF603" s="15"/>
      <c r="BG603" s="15"/>
      <c r="BH603" s="15"/>
      <c r="BI603" s="15"/>
    </row>
    <row r="604" spans="1:61" ht="15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7"/>
      <c r="O604" s="17"/>
      <c r="P604" s="15"/>
      <c r="Q604" s="15"/>
      <c r="R604" s="15"/>
      <c r="S604" s="15"/>
      <c r="T604" s="15"/>
      <c r="U604" s="15"/>
      <c r="V604" s="17"/>
      <c r="W604" s="17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  <c r="AM604" s="15"/>
      <c r="AN604" s="15"/>
      <c r="AO604" s="15"/>
      <c r="AP604" s="15"/>
      <c r="AQ604" s="15"/>
      <c r="AR604" s="15"/>
      <c r="AS604" s="15"/>
      <c r="AT604" s="15"/>
      <c r="AU604" s="15"/>
      <c r="AV604" s="15"/>
      <c r="AW604" s="15"/>
      <c r="AX604" s="15"/>
      <c r="AY604" s="15"/>
      <c r="AZ604" s="15"/>
      <c r="BA604" s="15"/>
      <c r="BB604" s="15"/>
      <c r="BC604" s="15"/>
      <c r="BD604" s="15"/>
      <c r="BE604" s="15"/>
      <c r="BF604" s="15"/>
      <c r="BG604" s="15"/>
      <c r="BH604" s="15"/>
      <c r="BI604" s="15"/>
    </row>
    <row r="605" spans="1:61" ht="15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7"/>
      <c r="O605" s="17"/>
      <c r="P605" s="15"/>
      <c r="Q605" s="15"/>
      <c r="R605" s="15"/>
      <c r="S605" s="15"/>
      <c r="T605" s="15"/>
      <c r="U605" s="15"/>
      <c r="V605" s="17"/>
      <c r="W605" s="17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  <c r="AM605" s="15"/>
      <c r="AN605" s="15"/>
      <c r="AO605" s="15"/>
      <c r="AP605" s="15"/>
      <c r="AQ605" s="15"/>
      <c r="AR605" s="15"/>
      <c r="AS605" s="15"/>
      <c r="AT605" s="15"/>
      <c r="AU605" s="15"/>
      <c r="AV605" s="15"/>
      <c r="AW605" s="15"/>
      <c r="AX605" s="15"/>
      <c r="AY605" s="15"/>
      <c r="AZ605" s="15"/>
      <c r="BA605" s="15"/>
      <c r="BB605" s="15"/>
      <c r="BC605" s="15"/>
      <c r="BD605" s="15"/>
      <c r="BE605" s="15"/>
      <c r="BF605" s="15"/>
      <c r="BG605" s="15"/>
      <c r="BH605" s="15"/>
      <c r="BI605" s="15"/>
    </row>
    <row r="606" spans="1:61" ht="15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7"/>
      <c r="O606" s="17"/>
      <c r="P606" s="15"/>
      <c r="Q606" s="15"/>
      <c r="R606" s="15"/>
      <c r="S606" s="15"/>
      <c r="T606" s="15"/>
      <c r="U606" s="15"/>
      <c r="V606" s="17"/>
      <c r="W606" s="17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  <c r="AM606" s="15"/>
      <c r="AN606" s="15"/>
      <c r="AO606" s="15"/>
      <c r="AP606" s="15"/>
      <c r="AQ606" s="15"/>
      <c r="AR606" s="15"/>
      <c r="AS606" s="15"/>
      <c r="AT606" s="15"/>
      <c r="AU606" s="15"/>
      <c r="AV606" s="15"/>
      <c r="AW606" s="15"/>
      <c r="AX606" s="15"/>
      <c r="AY606" s="15"/>
      <c r="AZ606" s="15"/>
      <c r="BA606" s="15"/>
      <c r="BB606" s="15"/>
      <c r="BC606" s="15"/>
      <c r="BD606" s="15"/>
      <c r="BE606" s="15"/>
      <c r="BF606" s="15"/>
      <c r="BG606" s="15"/>
      <c r="BH606" s="15"/>
      <c r="BI606" s="15"/>
    </row>
    <row r="607" spans="1:61" ht="15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7"/>
      <c r="O607" s="17"/>
      <c r="P607" s="15"/>
      <c r="Q607" s="15"/>
      <c r="R607" s="15"/>
      <c r="S607" s="15"/>
      <c r="T607" s="15"/>
      <c r="U607" s="15"/>
      <c r="V607" s="17"/>
      <c r="W607" s="17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  <c r="AM607" s="15"/>
      <c r="AN607" s="15"/>
      <c r="AO607" s="15"/>
      <c r="AP607" s="15"/>
      <c r="AQ607" s="15"/>
      <c r="AR607" s="15"/>
      <c r="AS607" s="15"/>
      <c r="AT607" s="15"/>
      <c r="AU607" s="15"/>
      <c r="AV607" s="15"/>
      <c r="AW607" s="15"/>
      <c r="AX607" s="15"/>
      <c r="AY607" s="15"/>
      <c r="AZ607" s="15"/>
      <c r="BA607" s="15"/>
      <c r="BB607" s="15"/>
      <c r="BC607" s="15"/>
      <c r="BD607" s="15"/>
      <c r="BE607" s="15"/>
      <c r="BF607" s="15"/>
      <c r="BG607" s="15"/>
      <c r="BH607" s="15"/>
      <c r="BI607" s="15"/>
    </row>
    <row r="608" spans="1:61" ht="15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7"/>
      <c r="O608" s="17"/>
      <c r="P608" s="15"/>
      <c r="Q608" s="15"/>
      <c r="R608" s="15"/>
      <c r="S608" s="15"/>
      <c r="T608" s="15"/>
      <c r="U608" s="15"/>
      <c r="V608" s="17"/>
      <c r="W608" s="17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  <c r="AM608" s="15"/>
      <c r="AN608" s="15"/>
      <c r="AO608" s="15"/>
      <c r="AP608" s="15"/>
      <c r="AQ608" s="15"/>
      <c r="AR608" s="15"/>
      <c r="AS608" s="15"/>
      <c r="AT608" s="15"/>
      <c r="AU608" s="15"/>
      <c r="AV608" s="15"/>
      <c r="AW608" s="15"/>
      <c r="AX608" s="15"/>
      <c r="AY608" s="15"/>
      <c r="AZ608" s="15"/>
      <c r="BA608" s="15"/>
      <c r="BB608" s="15"/>
      <c r="BC608" s="15"/>
      <c r="BD608" s="15"/>
      <c r="BE608" s="15"/>
      <c r="BF608" s="15"/>
      <c r="BG608" s="15"/>
      <c r="BH608" s="15"/>
      <c r="BI608" s="15"/>
    </row>
    <row r="609" spans="1:61" ht="15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7"/>
      <c r="O609" s="17"/>
      <c r="P609" s="15"/>
      <c r="Q609" s="15"/>
      <c r="R609" s="15"/>
      <c r="S609" s="15"/>
      <c r="T609" s="15"/>
      <c r="U609" s="15"/>
      <c r="V609" s="17"/>
      <c r="W609" s="17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  <c r="AM609" s="15"/>
      <c r="AN609" s="15"/>
      <c r="AO609" s="15"/>
      <c r="AP609" s="15"/>
      <c r="AQ609" s="15"/>
      <c r="AR609" s="15"/>
      <c r="AS609" s="15"/>
      <c r="AT609" s="15"/>
      <c r="AU609" s="15"/>
      <c r="AV609" s="15"/>
      <c r="AW609" s="15"/>
      <c r="AX609" s="15"/>
      <c r="AY609" s="15"/>
      <c r="AZ609" s="15"/>
      <c r="BA609" s="15"/>
      <c r="BB609" s="15"/>
      <c r="BC609" s="15"/>
      <c r="BD609" s="15"/>
      <c r="BE609" s="15"/>
      <c r="BF609" s="15"/>
      <c r="BG609" s="15"/>
      <c r="BH609" s="15"/>
      <c r="BI609" s="15"/>
    </row>
    <row r="610" spans="1:61" ht="15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7"/>
      <c r="O610" s="17"/>
      <c r="P610" s="15"/>
      <c r="Q610" s="15"/>
      <c r="R610" s="15"/>
      <c r="S610" s="15"/>
      <c r="T610" s="15"/>
      <c r="U610" s="15"/>
      <c r="V610" s="17"/>
      <c r="W610" s="17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  <c r="AM610" s="15"/>
      <c r="AN610" s="15"/>
      <c r="AO610" s="15"/>
      <c r="AP610" s="15"/>
      <c r="AQ610" s="15"/>
      <c r="AR610" s="15"/>
      <c r="AS610" s="15"/>
      <c r="AT610" s="15"/>
      <c r="AU610" s="15"/>
      <c r="AV610" s="15"/>
      <c r="AW610" s="15"/>
      <c r="AX610" s="15"/>
      <c r="AY610" s="15"/>
      <c r="AZ610" s="15"/>
      <c r="BA610" s="15"/>
      <c r="BB610" s="15"/>
      <c r="BC610" s="15"/>
      <c r="BD610" s="15"/>
      <c r="BE610" s="15"/>
      <c r="BF610" s="15"/>
      <c r="BG610" s="15"/>
      <c r="BH610" s="15"/>
      <c r="BI610" s="15"/>
    </row>
    <row r="611" spans="1:61" ht="15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7"/>
      <c r="O611" s="17"/>
      <c r="P611" s="15"/>
      <c r="Q611" s="15"/>
      <c r="R611" s="15"/>
      <c r="S611" s="15"/>
      <c r="T611" s="15"/>
      <c r="U611" s="15"/>
      <c r="V611" s="17"/>
      <c r="W611" s="17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  <c r="AM611" s="15"/>
      <c r="AN611" s="15"/>
      <c r="AO611" s="15"/>
      <c r="AP611" s="15"/>
      <c r="AQ611" s="15"/>
      <c r="AR611" s="15"/>
      <c r="AS611" s="15"/>
      <c r="AT611" s="15"/>
      <c r="AU611" s="15"/>
      <c r="AV611" s="15"/>
      <c r="AW611" s="15"/>
      <c r="AX611" s="15"/>
      <c r="AY611" s="15"/>
      <c r="AZ611" s="15"/>
      <c r="BA611" s="15"/>
      <c r="BB611" s="15"/>
      <c r="BC611" s="15"/>
      <c r="BD611" s="15"/>
      <c r="BE611" s="15"/>
      <c r="BF611" s="15"/>
      <c r="BG611" s="15"/>
      <c r="BH611" s="15"/>
      <c r="BI611" s="15"/>
    </row>
    <row r="612" spans="1:61" ht="15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7"/>
      <c r="O612" s="17"/>
      <c r="P612" s="15"/>
      <c r="Q612" s="15"/>
      <c r="R612" s="15"/>
      <c r="S612" s="15"/>
      <c r="T612" s="15"/>
      <c r="U612" s="15"/>
      <c r="V612" s="17"/>
      <c r="W612" s="17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  <c r="AM612" s="15"/>
      <c r="AN612" s="15"/>
      <c r="AO612" s="15"/>
      <c r="AP612" s="15"/>
      <c r="AQ612" s="15"/>
      <c r="AR612" s="15"/>
      <c r="AS612" s="15"/>
      <c r="AT612" s="15"/>
      <c r="AU612" s="15"/>
      <c r="AV612" s="15"/>
      <c r="AW612" s="15"/>
      <c r="AX612" s="15"/>
      <c r="AY612" s="15"/>
      <c r="AZ612" s="15"/>
      <c r="BA612" s="15"/>
      <c r="BB612" s="15"/>
      <c r="BC612" s="15"/>
      <c r="BD612" s="15"/>
      <c r="BE612" s="15"/>
      <c r="BF612" s="15"/>
      <c r="BG612" s="15"/>
      <c r="BH612" s="15"/>
      <c r="BI612" s="15"/>
    </row>
    <row r="613" spans="1:61" ht="15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7"/>
      <c r="O613" s="17"/>
      <c r="P613" s="15"/>
      <c r="Q613" s="15"/>
      <c r="R613" s="15"/>
      <c r="S613" s="15"/>
      <c r="T613" s="15"/>
      <c r="U613" s="15"/>
      <c r="V613" s="17"/>
      <c r="W613" s="17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  <c r="AN613" s="15"/>
      <c r="AO613" s="15"/>
      <c r="AP613" s="15"/>
      <c r="AQ613" s="15"/>
      <c r="AR613" s="15"/>
      <c r="AS613" s="15"/>
      <c r="AT613" s="15"/>
      <c r="AU613" s="15"/>
      <c r="AV613" s="15"/>
      <c r="AW613" s="15"/>
      <c r="AX613" s="15"/>
      <c r="AY613" s="15"/>
      <c r="AZ613" s="15"/>
      <c r="BA613" s="15"/>
      <c r="BB613" s="15"/>
      <c r="BC613" s="15"/>
      <c r="BD613" s="15"/>
      <c r="BE613" s="15"/>
      <c r="BF613" s="15"/>
      <c r="BG613" s="15"/>
      <c r="BH613" s="15"/>
      <c r="BI613" s="15"/>
    </row>
    <row r="614" spans="1:61" ht="15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7"/>
      <c r="O614" s="17"/>
      <c r="P614" s="15"/>
      <c r="Q614" s="15"/>
      <c r="R614" s="15"/>
      <c r="S614" s="15"/>
      <c r="T614" s="15"/>
      <c r="U614" s="15"/>
      <c r="V614" s="17"/>
      <c r="W614" s="17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  <c r="AM614" s="15"/>
      <c r="AN614" s="15"/>
      <c r="AO614" s="15"/>
      <c r="AP614" s="15"/>
      <c r="AQ614" s="15"/>
      <c r="AR614" s="15"/>
      <c r="AS614" s="15"/>
      <c r="AT614" s="15"/>
      <c r="AU614" s="15"/>
      <c r="AV614" s="15"/>
      <c r="AW614" s="15"/>
      <c r="AX614" s="15"/>
      <c r="AY614" s="15"/>
      <c r="AZ614" s="15"/>
      <c r="BA614" s="15"/>
      <c r="BB614" s="15"/>
      <c r="BC614" s="15"/>
      <c r="BD614" s="15"/>
      <c r="BE614" s="15"/>
      <c r="BF614" s="15"/>
      <c r="BG614" s="15"/>
      <c r="BH614" s="15"/>
      <c r="BI614" s="15"/>
    </row>
    <row r="615" spans="1:61" ht="15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7"/>
      <c r="O615" s="17"/>
      <c r="P615" s="15"/>
      <c r="Q615" s="15"/>
      <c r="R615" s="15"/>
      <c r="S615" s="15"/>
      <c r="T615" s="15"/>
      <c r="U615" s="15"/>
      <c r="V615" s="17"/>
      <c r="W615" s="17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  <c r="AN615" s="15"/>
      <c r="AO615" s="15"/>
      <c r="AP615" s="15"/>
      <c r="AQ615" s="15"/>
      <c r="AR615" s="15"/>
      <c r="AS615" s="15"/>
      <c r="AT615" s="15"/>
      <c r="AU615" s="15"/>
      <c r="AV615" s="15"/>
      <c r="AW615" s="15"/>
      <c r="AX615" s="15"/>
      <c r="AY615" s="15"/>
      <c r="AZ615" s="15"/>
      <c r="BA615" s="15"/>
      <c r="BB615" s="15"/>
      <c r="BC615" s="15"/>
      <c r="BD615" s="15"/>
      <c r="BE615" s="15"/>
      <c r="BF615" s="15"/>
      <c r="BG615" s="15"/>
      <c r="BH615" s="15"/>
      <c r="BI615" s="15"/>
    </row>
    <row r="616" spans="1:61" ht="15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7"/>
      <c r="O616" s="17"/>
      <c r="P616" s="15"/>
      <c r="Q616" s="15"/>
      <c r="R616" s="15"/>
      <c r="S616" s="15"/>
      <c r="T616" s="15"/>
      <c r="U616" s="15"/>
      <c r="V616" s="17"/>
      <c r="W616" s="17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  <c r="AM616" s="15"/>
      <c r="AN616" s="15"/>
      <c r="AO616" s="15"/>
      <c r="AP616" s="15"/>
      <c r="AQ616" s="15"/>
      <c r="AR616" s="15"/>
      <c r="AS616" s="15"/>
      <c r="AT616" s="15"/>
      <c r="AU616" s="15"/>
      <c r="AV616" s="15"/>
      <c r="AW616" s="15"/>
      <c r="AX616" s="15"/>
      <c r="AY616" s="15"/>
      <c r="AZ616" s="15"/>
      <c r="BA616" s="15"/>
      <c r="BB616" s="15"/>
      <c r="BC616" s="15"/>
      <c r="BD616" s="15"/>
      <c r="BE616" s="15"/>
      <c r="BF616" s="15"/>
      <c r="BG616" s="15"/>
      <c r="BH616" s="15"/>
      <c r="BI616" s="15"/>
    </row>
    <row r="617" spans="1:61" ht="15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7"/>
      <c r="O617" s="17"/>
      <c r="P617" s="15"/>
      <c r="Q617" s="15"/>
      <c r="R617" s="15"/>
      <c r="S617" s="15"/>
      <c r="T617" s="15"/>
      <c r="U617" s="15"/>
      <c r="V617" s="17"/>
      <c r="W617" s="17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  <c r="AN617" s="15"/>
      <c r="AO617" s="15"/>
      <c r="AP617" s="15"/>
      <c r="AQ617" s="15"/>
      <c r="AR617" s="15"/>
      <c r="AS617" s="15"/>
      <c r="AT617" s="15"/>
      <c r="AU617" s="15"/>
      <c r="AV617" s="15"/>
      <c r="AW617" s="15"/>
      <c r="AX617" s="15"/>
      <c r="AY617" s="15"/>
      <c r="AZ617" s="15"/>
      <c r="BA617" s="15"/>
      <c r="BB617" s="15"/>
      <c r="BC617" s="15"/>
      <c r="BD617" s="15"/>
      <c r="BE617" s="15"/>
      <c r="BF617" s="15"/>
      <c r="BG617" s="15"/>
      <c r="BH617" s="15"/>
      <c r="BI617" s="15"/>
    </row>
    <row r="618" spans="1:61" ht="15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7"/>
      <c r="O618" s="17"/>
      <c r="P618" s="15"/>
      <c r="Q618" s="15"/>
      <c r="R618" s="15"/>
      <c r="S618" s="15"/>
      <c r="T618" s="15"/>
      <c r="U618" s="15"/>
      <c r="V618" s="17"/>
      <c r="W618" s="17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  <c r="AM618" s="15"/>
      <c r="AN618" s="15"/>
      <c r="AO618" s="15"/>
      <c r="AP618" s="15"/>
      <c r="AQ618" s="15"/>
      <c r="AR618" s="15"/>
      <c r="AS618" s="15"/>
      <c r="AT618" s="15"/>
      <c r="AU618" s="15"/>
      <c r="AV618" s="15"/>
      <c r="AW618" s="15"/>
      <c r="AX618" s="15"/>
      <c r="AY618" s="15"/>
      <c r="AZ618" s="15"/>
      <c r="BA618" s="15"/>
      <c r="BB618" s="15"/>
      <c r="BC618" s="15"/>
      <c r="BD618" s="15"/>
      <c r="BE618" s="15"/>
      <c r="BF618" s="15"/>
      <c r="BG618" s="15"/>
      <c r="BH618" s="15"/>
      <c r="BI618" s="15"/>
    </row>
    <row r="619" spans="1:61" ht="15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7"/>
      <c r="O619" s="17"/>
      <c r="P619" s="15"/>
      <c r="Q619" s="15"/>
      <c r="R619" s="15"/>
      <c r="S619" s="15"/>
      <c r="T619" s="15"/>
      <c r="U619" s="15"/>
      <c r="V619" s="17"/>
      <c r="W619" s="17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  <c r="AM619" s="15"/>
      <c r="AN619" s="15"/>
      <c r="AO619" s="15"/>
      <c r="AP619" s="15"/>
      <c r="AQ619" s="15"/>
      <c r="AR619" s="15"/>
      <c r="AS619" s="15"/>
      <c r="AT619" s="15"/>
      <c r="AU619" s="15"/>
      <c r="AV619" s="15"/>
      <c r="AW619" s="15"/>
      <c r="AX619" s="15"/>
      <c r="AY619" s="15"/>
      <c r="AZ619" s="15"/>
      <c r="BA619" s="15"/>
      <c r="BB619" s="15"/>
      <c r="BC619" s="15"/>
      <c r="BD619" s="15"/>
      <c r="BE619" s="15"/>
      <c r="BF619" s="15"/>
      <c r="BG619" s="15"/>
      <c r="BH619" s="15"/>
      <c r="BI619" s="15"/>
    </row>
    <row r="620" spans="1:61" ht="15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7"/>
      <c r="O620" s="17"/>
      <c r="P620" s="15"/>
      <c r="Q620" s="15"/>
      <c r="R620" s="15"/>
      <c r="S620" s="15"/>
      <c r="T620" s="15"/>
      <c r="U620" s="15"/>
      <c r="V620" s="17"/>
      <c r="W620" s="17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  <c r="AM620" s="15"/>
      <c r="AN620" s="15"/>
      <c r="AO620" s="15"/>
      <c r="AP620" s="15"/>
      <c r="AQ620" s="15"/>
      <c r="AR620" s="15"/>
      <c r="AS620" s="15"/>
      <c r="AT620" s="15"/>
      <c r="AU620" s="15"/>
      <c r="AV620" s="15"/>
      <c r="AW620" s="15"/>
      <c r="AX620" s="15"/>
      <c r="AY620" s="15"/>
      <c r="AZ620" s="15"/>
      <c r="BA620" s="15"/>
      <c r="BB620" s="15"/>
      <c r="BC620" s="15"/>
      <c r="BD620" s="15"/>
      <c r="BE620" s="15"/>
      <c r="BF620" s="15"/>
      <c r="BG620" s="15"/>
      <c r="BH620" s="15"/>
      <c r="BI620" s="15"/>
    </row>
    <row r="621" spans="1:61" ht="15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7"/>
      <c r="O621" s="17"/>
      <c r="P621" s="15"/>
      <c r="Q621" s="15"/>
      <c r="R621" s="15"/>
      <c r="S621" s="15"/>
      <c r="T621" s="15"/>
      <c r="U621" s="15"/>
      <c r="V621" s="17"/>
      <c r="W621" s="17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  <c r="AM621" s="15"/>
      <c r="AN621" s="15"/>
      <c r="AO621" s="15"/>
      <c r="AP621" s="15"/>
      <c r="AQ621" s="15"/>
      <c r="AR621" s="15"/>
      <c r="AS621" s="15"/>
      <c r="AT621" s="15"/>
      <c r="AU621" s="15"/>
      <c r="AV621" s="15"/>
      <c r="AW621" s="15"/>
      <c r="AX621" s="15"/>
      <c r="AY621" s="15"/>
      <c r="AZ621" s="15"/>
      <c r="BA621" s="15"/>
      <c r="BB621" s="15"/>
      <c r="BC621" s="15"/>
      <c r="BD621" s="15"/>
      <c r="BE621" s="15"/>
      <c r="BF621" s="15"/>
      <c r="BG621" s="15"/>
      <c r="BH621" s="15"/>
      <c r="BI621" s="15"/>
    </row>
    <row r="622" spans="1:61" ht="15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7"/>
      <c r="O622" s="17"/>
      <c r="P622" s="15"/>
      <c r="Q622" s="15"/>
      <c r="R622" s="15"/>
      <c r="S622" s="15"/>
      <c r="T622" s="15"/>
      <c r="U622" s="15"/>
      <c r="V622" s="17"/>
      <c r="W622" s="17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  <c r="AM622" s="15"/>
      <c r="AN622" s="15"/>
      <c r="AO622" s="15"/>
      <c r="AP622" s="15"/>
      <c r="AQ622" s="15"/>
      <c r="AR622" s="15"/>
      <c r="AS622" s="15"/>
      <c r="AT622" s="15"/>
      <c r="AU622" s="15"/>
      <c r="AV622" s="15"/>
      <c r="AW622" s="15"/>
      <c r="AX622" s="15"/>
      <c r="AY622" s="15"/>
      <c r="AZ622" s="15"/>
      <c r="BA622" s="15"/>
      <c r="BB622" s="15"/>
      <c r="BC622" s="15"/>
      <c r="BD622" s="15"/>
      <c r="BE622" s="15"/>
      <c r="BF622" s="15"/>
      <c r="BG622" s="15"/>
      <c r="BH622" s="15"/>
      <c r="BI622" s="15"/>
    </row>
    <row r="623" spans="1:61" ht="15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7"/>
      <c r="O623" s="17"/>
      <c r="P623" s="15"/>
      <c r="Q623" s="15"/>
      <c r="R623" s="15"/>
      <c r="S623" s="15"/>
      <c r="T623" s="15"/>
      <c r="U623" s="15"/>
      <c r="V623" s="17"/>
      <c r="W623" s="17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15"/>
      <c r="AO623" s="15"/>
      <c r="AP623" s="15"/>
      <c r="AQ623" s="15"/>
      <c r="AR623" s="15"/>
      <c r="AS623" s="15"/>
      <c r="AT623" s="15"/>
      <c r="AU623" s="15"/>
      <c r="AV623" s="15"/>
      <c r="AW623" s="15"/>
      <c r="AX623" s="15"/>
      <c r="AY623" s="15"/>
      <c r="AZ623" s="15"/>
      <c r="BA623" s="15"/>
      <c r="BB623" s="15"/>
      <c r="BC623" s="15"/>
      <c r="BD623" s="15"/>
      <c r="BE623" s="15"/>
      <c r="BF623" s="15"/>
      <c r="BG623" s="15"/>
      <c r="BH623" s="15"/>
      <c r="BI623" s="15"/>
    </row>
    <row r="624" spans="1:61" ht="15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7"/>
      <c r="O624" s="17"/>
      <c r="P624" s="15"/>
      <c r="Q624" s="15"/>
      <c r="R624" s="15"/>
      <c r="S624" s="15"/>
      <c r="T624" s="15"/>
      <c r="U624" s="15"/>
      <c r="V624" s="17"/>
      <c r="W624" s="17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  <c r="AM624" s="15"/>
      <c r="AN624" s="15"/>
      <c r="AO624" s="15"/>
      <c r="AP624" s="15"/>
      <c r="AQ624" s="15"/>
      <c r="AR624" s="15"/>
      <c r="AS624" s="15"/>
      <c r="AT624" s="15"/>
      <c r="AU624" s="15"/>
      <c r="AV624" s="15"/>
      <c r="AW624" s="15"/>
      <c r="AX624" s="15"/>
      <c r="AY624" s="15"/>
      <c r="AZ624" s="15"/>
      <c r="BA624" s="15"/>
      <c r="BB624" s="15"/>
      <c r="BC624" s="15"/>
      <c r="BD624" s="15"/>
      <c r="BE624" s="15"/>
      <c r="BF624" s="15"/>
      <c r="BG624" s="15"/>
      <c r="BH624" s="15"/>
      <c r="BI624" s="15"/>
    </row>
    <row r="625" spans="1:61" ht="15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7"/>
      <c r="O625" s="17"/>
      <c r="P625" s="15"/>
      <c r="Q625" s="15"/>
      <c r="R625" s="15"/>
      <c r="S625" s="15"/>
      <c r="T625" s="15"/>
      <c r="U625" s="15"/>
      <c r="V625" s="17"/>
      <c r="W625" s="17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  <c r="AN625" s="15"/>
      <c r="AO625" s="15"/>
      <c r="AP625" s="15"/>
      <c r="AQ625" s="15"/>
      <c r="AR625" s="15"/>
      <c r="AS625" s="15"/>
      <c r="AT625" s="15"/>
      <c r="AU625" s="15"/>
      <c r="AV625" s="15"/>
      <c r="AW625" s="15"/>
      <c r="AX625" s="15"/>
      <c r="AY625" s="15"/>
      <c r="AZ625" s="15"/>
      <c r="BA625" s="15"/>
      <c r="BB625" s="15"/>
      <c r="BC625" s="15"/>
      <c r="BD625" s="15"/>
      <c r="BE625" s="15"/>
      <c r="BF625" s="15"/>
      <c r="BG625" s="15"/>
      <c r="BH625" s="15"/>
      <c r="BI625" s="15"/>
    </row>
    <row r="626" spans="1:61" ht="15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7"/>
      <c r="O626" s="17"/>
      <c r="P626" s="15"/>
      <c r="Q626" s="15"/>
      <c r="R626" s="15"/>
      <c r="S626" s="15"/>
      <c r="T626" s="15"/>
      <c r="U626" s="15"/>
      <c r="V626" s="17"/>
      <c r="W626" s="17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  <c r="AM626" s="15"/>
      <c r="AN626" s="15"/>
      <c r="AO626" s="15"/>
      <c r="AP626" s="15"/>
      <c r="AQ626" s="15"/>
      <c r="AR626" s="15"/>
      <c r="AS626" s="15"/>
      <c r="AT626" s="15"/>
      <c r="AU626" s="15"/>
      <c r="AV626" s="15"/>
      <c r="AW626" s="15"/>
      <c r="AX626" s="15"/>
      <c r="AY626" s="15"/>
      <c r="AZ626" s="15"/>
      <c r="BA626" s="15"/>
      <c r="BB626" s="15"/>
      <c r="BC626" s="15"/>
      <c r="BD626" s="15"/>
      <c r="BE626" s="15"/>
      <c r="BF626" s="15"/>
      <c r="BG626" s="15"/>
      <c r="BH626" s="15"/>
      <c r="BI626" s="15"/>
    </row>
    <row r="627" spans="1:61" ht="15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7"/>
      <c r="O627" s="17"/>
      <c r="P627" s="15"/>
      <c r="Q627" s="15"/>
      <c r="R627" s="15"/>
      <c r="S627" s="15"/>
      <c r="T627" s="15"/>
      <c r="U627" s="15"/>
      <c r="V627" s="17"/>
      <c r="W627" s="17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  <c r="AM627" s="15"/>
      <c r="AN627" s="15"/>
      <c r="AO627" s="15"/>
      <c r="AP627" s="15"/>
      <c r="AQ627" s="15"/>
      <c r="AR627" s="15"/>
      <c r="AS627" s="15"/>
      <c r="AT627" s="15"/>
      <c r="AU627" s="15"/>
      <c r="AV627" s="15"/>
      <c r="AW627" s="15"/>
      <c r="AX627" s="15"/>
      <c r="AY627" s="15"/>
      <c r="AZ627" s="15"/>
      <c r="BA627" s="15"/>
      <c r="BB627" s="15"/>
      <c r="BC627" s="15"/>
      <c r="BD627" s="15"/>
      <c r="BE627" s="15"/>
      <c r="BF627" s="15"/>
      <c r="BG627" s="15"/>
      <c r="BH627" s="15"/>
      <c r="BI627" s="15"/>
    </row>
    <row r="628" spans="1:61" ht="15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7"/>
      <c r="O628" s="17"/>
      <c r="P628" s="15"/>
      <c r="Q628" s="15"/>
      <c r="R628" s="15"/>
      <c r="S628" s="15"/>
      <c r="T628" s="15"/>
      <c r="U628" s="15"/>
      <c r="V628" s="17"/>
      <c r="W628" s="17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  <c r="AM628" s="15"/>
      <c r="AN628" s="15"/>
      <c r="AO628" s="15"/>
      <c r="AP628" s="15"/>
      <c r="AQ628" s="15"/>
      <c r="AR628" s="15"/>
      <c r="AS628" s="15"/>
      <c r="AT628" s="15"/>
      <c r="AU628" s="15"/>
      <c r="AV628" s="15"/>
      <c r="AW628" s="15"/>
      <c r="AX628" s="15"/>
      <c r="AY628" s="15"/>
      <c r="AZ628" s="15"/>
      <c r="BA628" s="15"/>
      <c r="BB628" s="15"/>
      <c r="BC628" s="15"/>
      <c r="BD628" s="15"/>
      <c r="BE628" s="15"/>
      <c r="BF628" s="15"/>
      <c r="BG628" s="15"/>
      <c r="BH628" s="15"/>
      <c r="BI628" s="15"/>
    </row>
    <row r="629" spans="1:61" ht="15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7"/>
      <c r="O629" s="17"/>
      <c r="P629" s="15"/>
      <c r="Q629" s="15"/>
      <c r="R629" s="15"/>
      <c r="S629" s="15"/>
      <c r="T629" s="15"/>
      <c r="U629" s="15"/>
      <c r="V629" s="17"/>
      <c r="W629" s="17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  <c r="AM629" s="15"/>
      <c r="AN629" s="15"/>
      <c r="AO629" s="15"/>
      <c r="AP629" s="15"/>
      <c r="AQ629" s="15"/>
      <c r="AR629" s="15"/>
      <c r="AS629" s="15"/>
      <c r="AT629" s="15"/>
      <c r="AU629" s="15"/>
      <c r="AV629" s="15"/>
      <c r="AW629" s="15"/>
      <c r="AX629" s="15"/>
      <c r="AY629" s="15"/>
      <c r="AZ629" s="15"/>
      <c r="BA629" s="15"/>
      <c r="BB629" s="15"/>
      <c r="BC629" s="15"/>
      <c r="BD629" s="15"/>
      <c r="BE629" s="15"/>
      <c r="BF629" s="15"/>
      <c r="BG629" s="15"/>
      <c r="BH629" s="15"/>
      <c r="BI629" s="15"/>
    </row>
    <row r="630" spans="1:61" ht="15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7"/>
      <c r="O630" s="17"/>
      <c r="P630" s="15"/>
      <c r="Q630" s="15"/>
      <c r="R630" s="15"/>
      <c r="S630" s="15"/>
      <c r="T630" s="15"/>
      <c r="U630" s="15"/>
      <c r="V630" s="17"/>
      <c r="W630" s="17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  <c r="AM630" s="15"/>
      <c r="AN630" s="15"/>
      <c r="AO630" s="15"/>
      <c r="AP630" s="15"/>
      <c r="AQ630" s="15"/>
      <c r="AR630" s="15"/>
      <c r="AS630" s="15"/>
      <c r="AT630" s="15"/>
      <c r="AU630" s="15"/>
      <c r="AV630" s="15"/>
      <c r="AW630" s="15"/>
      <c r="AX630" s="15"/>
      <c r="AY630" s="15"/>
      <c r="AZ630" s="15"/>
      <c r="BA630" s="15"/>
      <c r="BB630" s="15"/>
      <c r="BC630" s="15"/>
      <c r="BD630" s="15"/>
      <c r="BE630" s="15"/>
      <c r="BF630" s="15"/>
      <c r="BG630" s="15"/>
      <c r="BH630" s="15"/>
      <c r="BI630" s="15"/>
    </row>
    <row r="631" spans="1:61" ht="15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7"/>
      <c r="O631" s="17"/>
      <c r="P631" s="15"/>
      <c r="Q631" s="15"/>
      <c r="R631" s="15"/>
      <c r="S631" s="15"/>
      <c r="T631" s="15"/>
      <c r="U631" s="15"/>
      <c r="V631" s="17"/>
      <c r="W631" s="17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  <c r="AM631" s="15"/>
      <c r="AN631" s="15"/>
      <c r="AO631" s="15"/>
      <c r="AP631" s="15"/>
      <c r="AQ631" s="15"/>
      <c r="AR631" s="15"/>
      <c r="AS631" s="15"/>
      <c r="AT631" s="15"/>
      <c r="AU631" s="15"/>
      <c r="AV631" s="15"/>
      <c r="AW631" s="15"/>
      <c r="AX631" s="15"/>
      <c r="AY631" s="15"/>
      <c r="AZ631" s="15"/>
      <c r="BA631" s="15"/>
      <c r="BB631" s="15"/>
      <c r="BC631" s="15"/>
      <c r="BD631" s="15"/>
      <c r="BE631" s="15"/>
      <c r="BF631" s="15"/>
      <c r="BG631" s="15"/>
      <c r="BH631" s="15"/>
      <c r="BI631" s="15"/>
    </row>
    <row r="632" spans="1:61" ht="15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7"/>
      <c r="O632" s="17"/>
      <c r="P632" s="15"/>
      <c r="Q632" s="15"/>
      <c r="R632" s="15"/>
      <c r="S632" s="15"/>
      <c r="T632" s="15"/>
      <c r="U632" s="15"/>
      <c r="V632" s="17"/>
      <c r="W632" s="17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  <c r="AM632" s="15"/>
      <c r="AN632" s="15"/>
      <c r="AO632" s="15"/>
      <c r="AP632" s="15"/>
      <c r="AQ632" s="15"/>
      <c r="AR632" s="15"/>
      <c r="AS632" s="15"/>
      <c r="AT632" s="15"/>
      <c r="AU632" s="15"/>
      <c r="AV632" s="15"/>
      <c r="AW632" s="15"/>
      <c r="AX632" s="15"/>
      <c r="AY632" s="15"/>
      <c r="AZ632" s="15"/>
      <c r="BA632" s="15"/>
      <c r="BB632" s="15"/>
      <c r="BC632" s="15"/>
      <c r="BD632" s="15"/>
      <c r="BE632" s="15"/>
      <c r="BF632" s="15"/>
      <c r="BG632" s="15"/>
      <c r="BH632" s="15"/>
      <c r="BI632" s="15"/>
    </row>
    <row r="633" spans="1:61" ht="15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7"/>
      <c r="O633" s="17"/>
      <c r="P633" s="15"/>
      <c r="Q633" s="15"/>
      <c r="R633" s="15"/>
      <c r="S633" s="15"/>
      <c r="T633" s="15"/>
      <c r="U633" s="15"/>
      <c r="V633" s="17"/>
      <c r="W633" s="17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  <c r="AN633" s="15"/>
      <c r="AO633" s="15"/>
      <c r="AP633" s="15"/>
      <c r="AQ633" s="15"/>
      <c r="AR633" s="15"/>
      <c r="AS633" s="15"/>
      <c r="AT633" s="15"/>
      <c r="AU633" s="15"/>
      <c r="AV633" s="15"/>
      <c r="AW633" s="15"/>
      <c r="AX633" s="15"/>
      <c r="AY633" s="15"/>
      <c r="AZ633" s="15"/>
      <c r="BA633" s="15"/>
      <c r="BB633" s="15"/>
      <c r="BC633" s="15"/>
      <c r="BD633" s="15"/>
      <c r="BE633" s="15"/>
      <c r="BF633" s="15"/>
      <c r="BG633" s="15"/>
      <c r="BH633" s="15"/>
      <c r="BI633" s="15"/>
    </row>
    <row r="634" spans="1:61" ht="15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7"/>
      <c r="O634" s="17"/>
      <c r="P634" s="15"/>
      <c r="Q634" s="15"/>
      <c r="R634" s="15"/>
      <c r="S634" s="15"/>
      <c r="T634" s="15"/>
      <c r="U634" s="15"/>
      <c r="V634" s="17"/>
      <c r="W634" s="17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  <c r="AM634" s="15"/>
      <c r="AN634" s="15"/>
      <c r="AO634" s="15"/>
      <c r="AP634" s="15"/>
      <c r="AQ634" s="15"/>
      <c r="AR634" s="15"/>
      <c r="AS634" s="15"/>
      <c r="AT634" s="15"/>
      <c r="AU634" s="15"/>
      <c r="AV634" s="15"/>
      <c r="AW634" s="15"/>
      <c r="AX634" s="15"/>
      <c r="AY634" s="15"/>
      <c r="AZ634" s="15"/>
      <c r="BA634" s="15"/>
      <c r="BB634" s="15"/>
      <c r="BC634" s="15"/>
      <c r="BD634" s="15"/>
      <c r="BE634" s="15"/>
      <c r="BF634" s="15"/>
      <c r="BG634" s="15"/>
      <c r="BH634" s="15"/>
      <c r="BI634" s="15"/>
    </row>
    <row r="635" spans="1:61" ht="15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7"/>
      <c r="O635" s="17"/>
      <c r="P635" s="15"/>
      <c r="Q635" s="15"/>
      <c r="R635" s="15"/>
      <c r="S635" s="15"/>
      <c r="T635" s="15"/>
      <c r="U635" s="15"/>
      <c r="V635" s="17"/>
      <c r="W635" s="17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  <c r="AM635" s="15"/>
      <c r="AN635" s="15"/>
      <c r="AO635" s="15"/>
      <c r="AP635" s="15"/>
      <c r="AQ635" s="15"/>
      <c r="AR635" s="15"/>
      <c r="AS635" s="15"/>
      <c r="AT635" s="15"/>
      <c r="AU635" s="15"/>
      <c r="AV635" s="15"/>
      <c r="AW635" s="15"/>
      <c r="AX635" s="15"/>
      <c r="AY635" s="15"/>
      <c r="AZ635" s="15"/>
      <c r="BA635" s="15"/>
      <c r="BB635" s="15"/>
      <c r="BC635" s="15"/>
      <c r="BD635" s="15"/>
      <c r="BE635" s="15"/>
      <c r="BF635" s="15"/>
      <c r="BG635" s="15"/>
      <c r="BH635" s="15"/>
      <c r="BI635" s="15"/>
    </row>
    <row r="636" spans="1:61" ht="15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7"/>
      <c r="O636" s="17"/>
      <c r="P636" s="15"/>
      <c r="Q636" s="15"/>
      <c r="R636" s="15"/>
      <c r="S636" s="15"/>
      <c r="T636" s="15"/>
      <c r="U636" s="15"/>
      <c r="V636" s="17"/>
      <c r="W636" s="17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  <c r="AM636" s="15"/>
      <c r="AN636" s="15"/>
      <c r="AO636" s="15"/>
      <c r="AP636" s="15"/>
      <c r="AQ636" s="15"/>
      <c r="AR636" s="15"/>
      <c r="AS636" s="15"/>
      <c r="AT636" s="15"/>
      <c r="AU636" s="15"/>
      <c r="AV636" s="15"/>
      <c r="AW636" s="15"/>
      <c r="AX636" s="15"/>
      <c r="AY636" s="15"/>
      <c r="AZ636" s="15"/>
      <c r="BA636" s="15"/>
      <c r="BB636" s="15"/>
      <c r="BC636" s="15"/>
      <c r="BD636" s="15"/>
      <c r="BE636" s="15"/>
      <c r="BF636" s="15"/>
      <c r="BG636" s="15"/>
      <c r="BH636" s="15"/>
      <c r="BI636" s="15"/>
    </row>
    <row r="637" spans="1:61" ht="15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7"/>
      <c r="O637" s="17"/>
      <c r="P637" s="15"/>
      <c r="Q637" s="15"/>
      <c r="R637" s="15"/>
      <c r="S637" s="15"/>
      <c r="T637" s="15"/>
      <c r="U637" s="15"/>
      <c r="V637" s="17"/>
      <c r="W637" s="17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  <c r="AM637" s="15"/>
      <c r="AN637" s="15"/>
      <c r="AO637" s="15"/>
      <c r="AP637" s="15"/>
      <c r="AQ637" s="15"/>
      <c r="AR637" s="15"/>
      <c r="AS637" s="15"/>
      <c r="AT637" s="15"/>
      <c r="AU637" s="15"/>
      <c r="AV637" s="15"/>
      <c r="AW637" s="15"/>
      <c r="AX637" s="15"/>
      <c r="AY637" s="15"/>
      <c r="AZ637" s="15"/>
      <c r="BA637" s="15"/>
      <c r="BB637" s="15"/>
      <c r="BC637" s="15"/>
      <c r="BD637" s="15"/>
      <c r="BE637" s="15"/>
      <c r="BF637" s="15"/>
      <c r="BG637" s="15"/>
      <c r="BH637" s="15"/>
      <c r="BI637" s="15"/>
    </row>
    <row r="638" spans="1:61" ht="15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7"/>
      <c r="O638" s="17"/>
      <c r="P638" s="15"/>
      <c r="Q638" s="15"/>
      <c r="R638" s="15"/>
      <c r="S638" s="15"/>
      <c r="T638" s="15"/>
      <c r="U638" s="15"/>
      <c r="V638" s="17"/>
      <c r="W638" s="17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  <c r="AM638" s="15"/>
      <c r="AN638" s="15"/>
      <c r="AO638" s="15"/>
      <c r="AP638" s="15"/>
      <c r="AQ638" s="15"/>
      <c r="AR638" s="15"/>
      <c r="AS638" s="15"/>
      <c r="AT638" s="15"/>
      <c r="AU638" s="15"/>
      <c r="AV638" s="15"/>
      <c r="AW638" s="15"/>
      <c r="AX638" s="15"/>
      <c r="AY638" s="15"/>
      <c r="AZ638" s="15"/>
      <c r="BA638" s="15"/>
      <c r="BB638" s="15"/>
      <c r="BC638" s="15"/>
      <c r="BD638" s="15"/>
      <c r="BE638" s="15"/>
      <c r="BF638" s="15"/>
      <c r="BG638" s="15"/>
      <c r="BH638" s="15"/>
      <c r="BI638" s="15"/>
    </row>
    <row r="639" spans="1:61" ht="15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7"/>
      <c r="O639" s="17"/>
      <c r="P639" s="15"/>
      <c r="Q639" s="15"/>
      <c r="R639" s="15"/>
      <c r="S639" s="15"/>
      <c r="T639" s="15"/>
      <c r="U639" s="15"/>
      <c r="V639" s="17"/>
      <c r="W639" s="17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  <c r="AM639" s="15"/>
      <c r="AN639" s="15"/>
      <c r="AO639" s="15"/>
      <c r="AP639" s="15"/>
      <c r="AQ639" s="15"/>
      <c r="AR639" s="15"/>
      <c r="AS639" s="15"/>
      <c r="AT639" s="15"/>
      <c r="AU639" s="15"/>
      <c r="AV639" s="15"/>
      <c r="AW639" s="15"/>
      <c r="AX639" s="15"/>
      <c r="AY639" s="15"/>
      <c r="AZ639" s="15"/>
      <c r="BA639" s="15"/>
      <c r="BB639" s="15"/>
      <c r="BC639" s="15"/>
      <c r="BD639" s="15"/>
      <c r="BE639" s="15"/>
      <c r="BF639" s="15"/>
      <c r="BG639" s="15"/>
      <c r="BH639" s="15"/>
      <c r="BI639" s="15"/>
    </row>
    <row r="640" spans="1:61" ht="15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7"/>
      <c r="O640" s="17"/>
      <c r="P640" s="15"/>
      <c r="Q640" s="15"/>
      <c r="R640" s="15"/>
      <c r="S640" s="15"/>
      <c r="T640" s="15"/>
      <c r="U640" s="15"/>
      <c r="V640" s="17"/>
      <c r="W640" s="17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  <c r="AM640" s="15"/>
      <c r="AN640" s="15"/>
      <c r="AO640" s="15"/>
      <c r="AP640" s="15"/>
      <c r="AQ640" s="15"/>
      <c r="AR640" s="15"/>
      <c r="AS640" s="15"/>
      <c r="AT640" s="15"/>
      <c r="AU640" s="15"/>
      <c r="AV640" s="15"/>
      <c r="AW640" s="15"/>
      <c r="AX640" s="15"/>
      <c r="AY640" s="15"/>
      <c r="AZ640" s="15"/>
      <c r="BA640" s="15"/>
      <c r="BB640" s="15"/>
      <c r="BC640" s="15"/>
      <c r="BD640" s="15"/>
      <c r="BE640" s="15"/>
      <c r="BF640" s="15"/>
      <c r="BG640" s="15"/>
      <c r="BH640" s="15"/>
      <c r="BI640" s="15"/>
    </row>
    <row r="641" spans="1:61" ht="15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7"/>
      <c r="O641" s="17"/>
      <c r="P641" s="15"/>
      <c r="Q641" s="15"/>
      <c r="R641" s="15"/>
      <c r="S641" s="15"/>
      <c r="T641" s="15"/>
      <c r="U641" s="15"/>
      <c r="V641" s="17"/>
      <c r="W641" s="17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  <c r="AM641" s="15"/>
      <c r="AN641" s="15"/>
      <c r="AO641" s="15"/>
      <c r="AP641" s="15"/>
      <c r="AQ641" s="15"/>
      <c r="AR641" s="15"/>
      <c r="AS641" s="15"/>
      <c r="AT641" s="15"/>
      <c r="AU641" s="15"/>
      <c r="AV641" s="15"/>
      <c r="AW641" s="15"/>
      <c r="AX641" s="15"/>
      <c r="AY641" s="15"/>
      <c r="AZ641" s="15"/>
      <c r="BA641" s="15"/>
      <c r="BB641" s="15"/>
      <c r="BC641" s="15"/>
      <c r="BD641" s="15"/>
      <c r="BE641" s="15"/>
      <c r="BF641" s="15"/>
      <c r="BG641" s="15"/>
      <c r="BH641" s="15"/>
      <c r="BI641" s="15"/>
    </row>
    <row r="642" spans="1:61" ht="15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7"/>
      <c r="O642" s="17"/>
      <c r="P642" s="15"/>
      <c r="Q642" s="15"/>
      <c r="R642" s="15"/>
      <c r="S642" s="15"/>
      <c r="T642" s="15"/>
      <c r="U642" s="15"/>
      <c r="V642" s="17"/>
      <c r="W642" s="17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  <c r="AM642" s="15"/>
      <c r="AN642" s="15"/>
      <c r="AO642" s="15"/>
      <c r="AP642" s="15"/>
      <c r="AQ642" s="15"/>
      <c r="AR642" s="15"/>
      <c r="AS642" s="15"/>
      <c r="AT642" s="15"/>
      <c r="AU642" s="15"/>
      <c r="AV642" s="15"/>
      <c r="AW642" s="15"/>
      <c r="AX642" s="15"/>
      <c r="AY642" s="15"/>
      <c r="AZ642" s="15"/>
      <c r="BA642" s="15"/>
      <c r="BB642" s="15"/>
      <c r="BC642" s="15"/>
      <c r="BD642" s="15"/>
      <c r="BE642" s="15"/>
      <c r="BF642" s="15"/>
      <c r="BG642" s="15"/>
      <c r="BH642" s="15"/>
      <c r="BI642" s="15"/>
    </row>
    <row r="643" spans="1:61" ht="15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7"/>
      <c r="O643" s="17"/>
      <c r="P643" s="15"/>
      <c r="Q643" s="15"/>
      <c r="R643" s="15"/>
      <c r="S643" s="15"/>
      <c r="T643" s="15"/>
      <c r="U643" s="15"/>
      <c r="V643" s="17"/>
      <c r="W643" s="17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  <c r="AM643" s="15"/>
      <c r="AN643" s="15"/>
      <c r="AO643" s="15"/>
      <c r="AP643" s="15"/>
      <c r="AQ643" s="15"/>
      <c r="AR643" s="15"/>
      <c r="AS643" s="15"/>
      <c r="AT643" s="15"/>
      <c r="AU643" s="15"/>
      <c r="AV643" s="15"/>
      <c r="AW643" s="15"/>
      <c r="AX643" s="15"/>
      <c r="AY643" s="15"/>
      <c r="AZ643" s="15"/>
      <c r="BA643" s="15"/>
      <c r="BB643" s="15"/>
      <c r="BC643" s="15"/>
      <c r="BD643" s="15"/>
      <c r="BE643" s="15"/>
      <c r="BF643" s="15"/>
      <c r="BG643" s="15"/>
      <c r="BH643" s="15"/>
      <c r="BI643" s="15"/>
    </row>
    <row r="644" spans="1:61" ht="15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7"/>
      <c r="O644" s="17"/>
      <c r="P644" s="15"/>
      <c r="Q644" s="15"/>
      <c r="R644" s="15"/>
      <c r="S644" s="15"/>
      <c r="T644" s="15"/>
      <c r="U644" s="15"/>
      <c r="V644" s="17"/>
      <c r="W644" s="17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  <c r="AM644" s="15"/>
      <c r="AN644" s="15"/>
      <c r="AO644" s="15"/>
      <c r="AP644" s="15"/>
      <c r="AQ644" s="15"/>
      <c r="AR644" s="15"/>
      <c r="AS644" s="15"/>
      <c r="AT644" s="15"/>
      <c r="AU644" s="15"/>
      <c r="AV644" s="15"/>
      <c r="AW644" s="15"/>
      <c r="AX644" s="15"/>
      <c r="AY644" s="15"/>
      <c r="AZ644" s="15"/>
      <c r="BA644" s="15"/>
      <c r="BB644" s="15"/>
      <c r="BC644" s="15"/>
      <c r="BD644" s="15"/>
      <c r="BE644" s="15"/>
      <c r="BF644" s="15"/>
      <c r="BG644" s="15"/>
      <c r="BH644" s="15"/>
      <c r="BI644" s="15"/>
    </row>
    <row r="645" spans="1:61" ht="15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7"/>
      <c r="O645" s="17"/>
      <c r="P645" s="15"/>
      <c r="Q645" s="15"/>
      <c r="R645" s="15"/>
      <c r="S645" s="15"/>
      <c r="T645" s="15"/>
      <c r="U645" s="15"/>
      <c r="V645" s="17"/>
      <c r="W645" s="17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  <c r="AN645" s="15"/>
      <c r="AO645" s="15"/>
      <c r="AP645" s="15"/>
      <c r="AQ645" s="15"/>
      <c r="AR645" s="15"/>
      <c r="AS645" s="15"/>
      <c r="AT645" s="15"/>
      <c r="AU645" s="15"/>
      <c r="AV645" s="15"/>
      <c r="AW645" s="15"/>
      <c r="AX645" s="15"/>
      <c r="AY645" s="15"/>
      <c r="AZ645" s="15"/>
      <c r="BA645" s="15"/>
      <c r="BB645" s="15"/>
      <c r="BC645" s="15"/>
      <c r="BD645" s="15"/>
      <c r="BE645" s="15"/>
      <c r="BF645" s="15"/>
      <c r="BG645" s="15"/>
      <c r="BH645" s="15"/>
      <c r="BI645" s="15"/>
    </row>
    <row r="646" spans="1:61" ht="15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7"/>
      <c r="O646" s="17"/>
      <c r="P646" s="15"/>
      <c r="Q646" s="15"/>
      <c r="R646" s="15"/>
      <c r="S646" s="15"/>
      <c r="T646" s="15"/>
      <c r="U646" s="15"/>
      <c r="V646" s="17"/>
      <c r="W646" s="17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  <c r="AM646" s="15"/>
      <c r="AN646" s="15"/>
      <c r="AO646" s="15"/>
      <c r="AP646" s="15"/>
      <c r="AQ646" s="15"/>
      <c r="AR646" s="15"/>
      <c r="AS646" s="15"/>
      <c r="AT646" s="15"/>
      <c r="AU646" s="15"/>
      <c r="AV646" s="15"/>
      <c r="AW646" s="15"/>
      <c r="AX646" s="15"/>
      <c r="AY646" s="15"/>
      <c r="AZ646" s="15"/>
      <c r="BA646" s="15"/>
      <c r="BB646" s="15"/>
      <c r="BC646" s="15"/>
      <c r="BD646" s="15"/>
      <c r="BE646" s="15"/>
      <c r="BF646" s="15"/>
      <c r="BG646" s="15"/>
      <c r="BH646" s="15"/>
      <c r="BI646" s="15"/>
    </row>
    <row r="647" spans="1:61" ht="15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7"/>
      <c r="O647" s="17"/>
      <c r="P647" s="15"/>
      <c r="Q647" s="15"/>
      <c r="R647" s="15"/>
      <c r="S647" s="15"/>
      <c r="T647" s="15"/>
      <c r="U647" s="15"/>
      <c r="V647" s="17"/>
      <c r="W647" s="17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  <c r="AM647" s="15"/>
      <c r="AN647" s="15"/>
      <c r="AO647" s="15"/>
      <c r="AP647" s="15"/>
      <c r="AQ647" s="15"/>
      <c r="AR647" s="15"/>
      <c r="AS647" s="15"/>
      <c r="AT647" s="15"/>
      <c r="AU647" s="15"/>
      <c r="AV647" s="15"/>
      <c r="AW647" s="15"/>
      <c r="AX647" s="15"/>
      <c r="AY647" s="15"/>
      <c r="AZ647" s="15"/>
      <c r="BA647" s="15"/>
      <c r="BB647" s="15"/>
      <c r="BC647" s="15"/>
      <c r="BD647" s="15"/>
      <c r="BE647" s="15"/>
      <c r="BF647" s="15"/>
      <c r="BG647" s="15"/>
      <c r="BH647" s="15"/>
      <c r="BI647" s="15"/>
    </row>
    <row r="648" spans="1:61" ht="15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7"/>
      <c r="O648" s="17"/>
      <c r="P648" s="15"/>
      <c r="Q648" s="15"/>
      <c r="R648" s="15"/>
      <c r="S648" s="15"/>
      <c r="T648" s="15"/>
      <c r="U648" s="15"/>
      <c r="V648" s="17"/>
      <c r="W648" s="17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  <c r="AM648" s="15"/>
      <c r="AN648" s="15"/>
      <c r="AO648" s="15"/>
      <c r="AP648" s="15"/>
      <c r="AQ648" s="15"/>
      <c r="AR648" s="15"/>
      <c r="AS648" s="15"/>
      <c r="AT648" s="15"/>
      <c r="AU648" s="15"/>
      <c r="AV648" s="15"/>
      <c r="AW648" s="15"/>
      <c r="AX648" s="15"/>
      <c r="AY648" s="15"/>
      <c r="AZ648" s="15"/>
      <c r="BA648" s="15"/>
      <c r="BB648" s="15"/>
      <c r="BC648" s="15"/>
      <c r="BD648" s="15"/>
      <c r="BE648" s="15"/>
      <c r="BF648" s="15"/>
      <c r="BG648" s="15"/>
      <c r="BH648" s="15"/>
      <c r="BI648" s="15"/>
    </row>
    <row r="649" spans="1:61" ht="15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7"/>
      <c r="O649" s="17"/>
      <c r="P649" s="15"/>
      <c r="Q649" s="15"/>
      <c r="R649" s="15"/>
      <c r="S649" s="15"/>
      <c r="T649" s="15"/>
      <c r="U649" s="15"/>
      <c r="V649" s="17"/>
      <c r="W649" s="17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  <c r="AM649" s="15"/>
      <c r="AN649" s="15"/>
      <c r="AO649" s="15"/>
      <c r="AP649" s="15"/>
      <c r="AQ649" s="15"/>
      <c r="AR649" s="15"/>
      <c r="AS649" s="15"/>
      <c r="AT649" s="15"/>
      <c r="AU649" s="15"/>
      <c r="AV649" s="15"/>
      <c r="AW649" s="15"/>
      <c r="AX649" s="15"/>
      <c r="AY649" s="15"/>
      <c r="AZ649" s="15"/>
      <c r="BA649" s="15"/>
      <c r="BB649" s="15"/>
      <c r="BC649" s="15"/>
      <c r="BD649" s="15"/>
      <c r="BE649" s="15"/>
      <c r="BF649" s="15"/>
      <c r="BG649" s="15"/>
      <c r="BH649" s="15"/>
      <c r="BI649" s="15"/>
    </row>
    <row r="650" spans="1:61" ht="15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7"/>
      <c r="O650" s="17"/>
      <c r="P650" s="15"/>
      <c r="Q650" s="15"/>
      <c r="R650" s="15"/>
      <c r="S650" s="15"/>
      <c r="T650" s="15"/>
      <c r="U650" s="15"/>
      <c r="V650" s="17"/>
      <c r="W650" s="17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  <c r="AM650" s="15"/>
      <c r="AN650" s="15"/>
      <c r="AO650" s="15"/>
      <c r="AP650" s="15"/>
      <c r="AQ650" s="15"/>
      <c r="AR650" s="15"/>
      <c r="AS650" s="15"/>
      <c r="AT650" s="15"/>
      <c r="AU650" s="15"/>
      <c r="AV650" s="15"/>
      <c r="AW650" s="15"/>
      <c r="AX650" s="15"/>
      <c r="AY650" s="15"/>
      <c r="AZ650" s="15"/>
      <c r="BA650" s="15"/>
      <c r="BB650" s="15"/>
      <c r="BC650" s="15"/>
      <c r="BD650" s="15"/>
      <c r="BE650" s="15"/>
      <c r="BF650" s="15"/>
      <c r="BG650" s="15"/>
      <c r="BH650" s="15"/>
      <c r="BI650" s="15"/>
    </row>
    <row r="651" spans="1:61" ht="15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7"/>
      <c r="O651" s="17"/>
      <c r="P651" s="15"/>
      <c r="Q651" s="15"/>
      <c r="R651" s="15"/>
      <c r="S651" s="15"/>
      <c r="T651" s="15"/>
      <c r="U651" s="15"/>
      <c r="V651" s="17"/>
      <c r="W651" s="17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  <c r="AM651" s="15"/>
      <c r="AN651" s="15"/>
      <c r="AO651" s="15"/>
      <c r="AP651" s="15"/>
      <c r="AQ651" s="15"/>
      <c r="AR651" s="15"/>
      <c r="AS651" s="15"/>
      <c r="AT651" s="15"/>
      <c r="AU651" s="15"/>
      <c r="AV651" s="15"/>
      <c r="AW651" s="15"/>
      <c r="AX651" s="15"/>
      <c r="AY651" s="15"/>
      <c r="AZ651" s="15"/>
      <c r="BA651" s="15"/>
      <c r="BB651" s="15"/>
      <c r="BC651" s="15"/>
      <c r="BD651" s="15"/>
      <c r="BE651" s="15"/>
      <c r="BF651" s="15"/>
      <c r="BG651" s="15"/>
      <c r="BH651" s="15"/>
      <c r="BI651" s="15"/>
    </row>
    <row r="652" spans="1:61" ht="15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7"/>
      <c r="O652" s="17"/>
      <c r="P652" s="15"/>
      <c r="Q652" s="15"/>
      <c r="R652" s="15"/>
      <c r="S652" s="15"/>
      <c r="T652" s="15"/>
      <c r="U652" s="15"/>
      <c r="V652" s="17"/>
      <c r="W652" s="17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  <c r="AM652" s="15"/>
      <c r="AN652" s="15"/>
      <c r="AO652" s="15"/>
      <c r="AP652" s="15"/>
      <c r="AQ652" s="15"/>
      <c r="AR652" s="15"/>
      <c r="AS652" s="15"/>
      <c r="AT652" s="15"/>
      <c r="AU652" s="15"/>
      <c r="AV652" s="15"/>
      <c r="AW652" s="15"/>
      <c r="AX652" s="15"/>
      <c r="AY652" s="15"/>
      <c r="AZ652" s="15"/>
      <c r="BA652" s="15"/>
      <c r="BB652" s="15"/>
      <c r="BC652" s="15"/>
      <c r="BD652" s="15"/>
      <c r="BE652" s="15"/>
      <c r="BF652" s="15"/>
      <c r="BG652" s="15"/>
      <c r="BH652" s="15"/>
      <c r="BI652" s="15"/>
    </row>
    <row r="653" spans="1:61" ht="15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7"/>
      <c r="O653" s="17"/>
      <c r="P653" s="15"/>
      <c r="Q653" s="15"/>
      <c r="R653" s="15"/>
      <c r="S653" s="15"/>
      <c r="T653" s="15"/>
      <c r="U653" s="15"/>
      <c r="V653" s="17"/>
      <c r="W653" s="17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  <c r="AN653" s="15"/>
      <c r="AO653" s="15"/>
      <c r="AP653" s="15"/>
      <c r="AQ653" s="15"/>
      <c r="AR653" s="15"/>
      <c r="AS653" s="15"/>
      <c r="AT653" s="15"/>
      <c r="AU653" s="15"/>
      <c r="AV653" s="15"/>
      <c r="AW653" s="15"/>
      <c r="AX653" s="15"/>
      <c r="AY653" s="15"/>
      <c r="AZ653" s="15"/>
      <c r="BA653" s="15"/>
      <c r="BB653" s="15"/>
      <c r="BC653" s="15"/>
      <c r="BD653" s="15"/>
      <c r="BE653" s="15"/>
      <c r="BF653" s="15"/>
      <c r="BG653" s="15"/>
      <c r="BH653" s="15"/>
      <c r="BI653" s="15"/>
    </row>
    <row r="654" spans="1:61" ht="15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7"/>
      <c r="O654" s="17"/>
      <c r="P654" s="15"/>
      <c r="Q654" s="15"/>
      <c r="R654" s="15"/>
      <c r="S654" s="15"/>
      <c r="T654" s="15"/>
      <c r="U654" s="15"/>
      <c r="V654" s="17"/>
      <c r="W654" s="17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  <c r="AM654" s="15"/>
      <c r="AN654" s="15"/>
      <c r="AO654" s="15"/>
      <c r="AP654" s="15"/>
      <c r="AQ654" s="15"/>
      <c r="AR654" s="15"/>
      <c r="AS654" s="15"/>
      <c r="AT654" s="15"/>
      <c r="AU654" s="15"/>
      <c r="AV654" s="15"/>
      <c r="AW654" s="15"/>
      <c r="AX654" s="15"/>
      <c r="AY654" s="15"/>
      <c r="AZ654" s="15"/>
      <c r="BA654" s="15"/>
      <c r="BB654" s="15"/>
      <c r="BC654" s="15"/>
      <c r="BD654" s="15"/>
      <c r="BE654" s="15"/>
      <c r="BF654" s="15"/>
      <c r="BG654" s="15"/>
      <c r="BH654" s="15"/>
      <c r="BI654" s="15"/>
    </row>
    <row r="655" spans="1:61" ht="15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7"/>
      <c r="O655" s="17"/>
      <c r="P655" s="15"/>
      <c r="Q655" s="15"/>
      <c r="R655" s="15"/>
      <c r="S655" s="15"/>
      <c r="T655" s="15"/>
      <c r="U655" s="15"/>
      <c r="V655" s="17"/>
      <c r="W655" s="17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  <c r="AM655" s="15"/>
      <c r="AN655" s="15"/>
      <c r="AO655" s="15"/>
      <c r="AP655" s="15"/>
      <c r="AQ655" s="15"/>
      <c r="AR655" s="15"/>
      <c r="AS655" s="15"/>
      <c r="AT655" s="15"/>
      <c r="AU655" s="15"/>
      <c r="AV655" s="15"/>
      <c r="AW655" s="15"/>
      <c r="AX655" s="15"/>
      <c r="AY655" s="15"/>
      <c r="AZ655" s="15"/>
      <c r="BA655" s="15"/>
      <c r="BB655" s="15"/>
      <c r="BC655" s="15"/>
      <c r="BD655" s="15"/>
      <c r="BE655" s="15"/>
      <c r="BF655" s="15"/>
      <c r="BG655" s="15"/>
      <c r="BH655" s="15"/>
      <c r="BI655" s="15"/>
    </row>
    <row r="656" spans="1:61" ht="15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7"/>
      <c r="O656" s="17"/>
      <c r="P656" s="15"/>
      <c r="Q656" s="15"/>
      <c r="R656" s="15"/>
      <c r="S656" s="15"/>
      <c r="T656" s="15"/>
      <c r="U656" s="15"/>
      <c r="V656" s="17"/>
      <c r="W656" s="17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  <c r="AL656" s="15"/>
      <c r="AM656" s="15"/>
      <c r="AN656" s="15"/>
      <c r="AO656" s="15"/>
      <c r="AP656" s="15"/>
      <c r="AQ656" s="15"/>
      <c r="AR656" s="15"/>
      <c r="AS656" s="15"/>
      <c r="AT656" s="15"/>
      <c r="AU656" s="15"/>
      <c r="AV656" s="15"/>
      <c r="AW656" s="15"/>
      <c r="AX656" s="15"/>
      <c r="AY656" s="15"/>
      <c r="AZ656" s="15"/>
      <c r="BA656" s="15"/>
      <c r="BB656" s="15"/>
      <c r="BC656" s="15"/>
      <c r="BD656" s="15"/>
      <c r="BE656" s="15"/>
      <c r="BF656" s="15"/>
      <c r="BG656" s="15"/>
      <c r="BH656" s="15"/>
      <c r="BI656" s="15"/>
    </row>
    <row r="657" spans="1:61" ht="15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7"/>
      <c r="O657" s="17"/>
      <c r="P657" s="15"/>
      <c r="Q657" s="15"/>
      <c r="R657" s="15"/>
      <c r="S657" s="15"/>
      <c r="T657" s="15"/>
      <c r="U657" s="15"/>
      <c r="V657" s="17"/>
      <c r="W657" s="17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  <c r="AL657" s="15"/>
      <c r="AM657" s="15"/>
      <c r="AN657" s="15"/>
      <c r="AO657" s="15"/>
      <c r="AP657" s="15"/>
      <c r="AQ657" s="15"/>
      <c r="AR657" s="15"/>
      <c r="AS657" s="15"/>
      <c r="AT657" s="15"/>
      <c r="AU657" s="15"/>
      <c r="AV657" s="15"/>
      <c r="AW657" s="15"/>
      <c r="AX657" s="15"/>
      <c r="AY657" s="15"/>
      <c r="AZ657" s="15"/>
      <c r="BA657" s="15"/>
      <c r="BB657" s="15"/>
      <c r="BC657" s="15"/>
      <c r="BD657" s="15"/>
      <c r="BE657" s="15"/>
      <c r="BF657" s="15"/>
      <c r="BG657" s="15"/>
      <c r="BH657" s="15"/>
      <c r="BI657" s="15"/>
    </row>
    <row r="658" spans="1:61" ht="15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7"/>
      <c r="O658" s="17"/>
      <c r="P658" s="15"/>
      <c r="Q658" s="15"/>
      <c r="R658" s="15"/>
      <c r="S658" s="15"/>
      <c r="T658" s="15"/>
      <c r="U658" s="15"/>
      <c r="V658" s="17"/>
      <c r="W658" s="17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  <c r="AL658" s="15"/>
      <c r="AM658" s="15"/>
      <c r="AN658" s="15"/>
      <c r="AO658" s="15"/>
      <c r="AP658" s="15"/>
      <c r="AQ658" s="15"/>
      <c r="AR658" s="15"/>
      <c r="AS658" s="15"/>
      <c r="AT658" s="15"/>
      <c r="AU658" s="15"/>
      <c r="AV658" s="15"/>
      <c r="AW658" s="15"/>
      <c r="AX658" s="15"/>
      <c r="AY658" s="15"/>
      <c r="AZ658" s="15"/>
      <c r="BA658" s="15"/>
      <c r="BB658" s="15"/>
      <c r="BC658" s="15"/>
      <c r="BD658" s="15"/>
      <c r="BE658" s="15"/>
      <c r="BF658" s="15"/>
      <c r="BG658" s="15"/>
      <c r="BH658" s="15"/>
      <c r="BI658" s="15"/>
    </row>
    <row r="659" spans="1:61" ht="15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7"/>
      <c r="O659" s="17"/>
      <c r="P659" s="15"/>
      <c r="Q659" s="15"/>
      <c r="R659" s="15"/>
      <c r="S659" s="15"/>
      <c r="T659" s="15"/>
      <c r="U659" s="15"/>
      <c r="V659" s="17"/>
      <c r="W659" s="17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/>
      <c r="AM659" s="15"/>
      <c r="AN659" s="15"/>
      <c r="AO659" s="15"/>
      <c r="AP659" s="15"/>
      <c r="AQ659" s="15"/>
      <c r="AR659" s="15"/>
      <c r="AS659" s="15"/>
      <c r="AT659" s="15"/>
      <c r="AU659" s="15"/>
      <c r="AV659" s="15"/>
      <c r="AW659" s="15"/>
      <c r="AX659" s="15"/>
      <c r="AY659" s="15"/>
      <c r="AZ659" s="15"/>
      <c r="BA659" s="15"/>
      <c r="BB659" s="15"/>
      <c r="BC659" s="15"/>
      <c r="BD659" s="15"/>
      <c r="BE659" s="15"/>
      <c r="BF659" s="15"/>
      <c r="BG659" s="15"/>
      <c r="BH659" s="15"/>
      <c r="BI659" s="15"/>
    </row>
    <row r="660" spans="1:61" ht="15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7"/>
      <c r="O660" s="17"/>
      <c r="P660" s="15"/>
      <c r="Q660" s="15"/>
      <c r="R660" s="15"/>
      <c r="S660" s="15"/>
      <c r="T660" s="15"/>
      <c r="U660" s="15"/>
      <c r="V660" s="17"/>
      <c r="W660" s="17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  <c r="AM660" s="15"/>
      <c r="AN660" s="15"/>
      <c r="AO660" s="15"/>
      <c r="AP660" s="15"/>
      <c r="AQ660" s="15"/>
      <c r="AR660" s="15"/>
      <c r="AS660" s="15"/>
      <c r="AT660" s="15"/>
      <c r="AU660" s="15"/>
      <c r="AV660" s="15"/>
      <c r="AW660" s="15"/>
      <c r="AX660" s="15"/>
      <c r="AY660" s="15"/>
      <c r="AZ660" s="15"/>
      <c r="BA660" s="15"/>
      <c r="BB660" s="15"/>
      <c r="BC660" s="15"/>
      <c r="BD660" s="15"/>
      <c r="BE660" s="15"/>
      <c r="BF660" s="15"/>
      <c r="BG660" s="15"/>
      <c r="BH660" s="15"/>
      <c r="BI660" s="15"/>
    </row>
    <row r="661" spans="1:61" ht="15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7"/>
      <c r="O661" s="17"/>
      <c r="P661" s="15"/>
      <c r="Q661" s="15"/>
      <c r="R661" s="15"/>
      <c r="S661" s="15"/>
      <c r="T661" s="15"/>
      <c r="U661" s="15"/>
      <c r="V661" s="17"/>
      <c r="W661" s="17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  <c r="AM661" s="15"/>
      <c r="AN661" s="15"/>
      <c r="AO661" s="15"/>
      <c r="AP661" s="15"/>
      <c r="AQ661" s="15"/>
      <c r="AR661" s="15"/>
      <c r="AS661" s="15"/>
      <c r="AT661" s="15"/>
      <c r="AU661" s="15"/>
      <c r="AV661" s="15"/>
      <c r="AW661" s="15"/>
      <c r="AX661" s="15"/>
      <c r="AY661" s="15"/>
      <c r="AZ661" s="15"/>
      <c r="BA661" s="15"/>
      <c r="BB661" s="15"/>
      <c r="BC661" s="15"/>
      <c r="BD661" s="15"/>
      <c r="BE661" s="15"/>
      <c r="BF661" s="15"/>
      <c r="BG661" s="15"/>
      <c r="BH661" s="15"/>
      <c r="BI661" s="15"/>
    </row>
    <row r="662" spans="1:61" ht="15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7"/>
      <c r="O662" s="17"/>
      <c r="P662" s="15"/>
      <c r="Q662" s="15"/>
      <c r="R662" s="15"/>
      <c r="S662" s="15"/>
      <c r="T662" s="15"/>
      <c r="U662" s="15"/>
      <c r="V662" s="17"/>
      <c r="W662" s="17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  <c r="AL662" s="15"/>
      <c r="AM662" s="15"/>
      <c r="AN662" s="15"/>
      <c r="AO662" s="15"/>
      <c r="AP662" s="15"/>
      <c r="AQ662" s="15"/>
      <c r="AR662" s="15"/>
      <c r="AS662" s="15"/>
      <c r="AT662" s="15"/>
      <c r="AU662" s="15"/>
      <c r="AV662" s="15"/>
      <c r="AW662" s="15"/>
      <c r="AX662" s="15"/>
      <c r="AY662" s="15"/>
      <c r="AZ662" s="15"/>
      <c r="BA662" s="15"/>
      <c r="BB662" s="15"/>
      <c r="BC662" s="15"/>
      <c r="BD662" s="15"/>
      <c r="BE662" s="15"/>
      <c r="BF662" s="15"/>
      <c r="BG662" s="15"/>
      <c r="BH662" s="15"/>
      <c r="BI662" s="15"/>
    </row>
    <row r="663" spans="1:61" ht="15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7"/>
      <c r="O663" s="17"/>
      <c r="P663" s="15"/>
      <c r="Q663" s="15"/>
      <c r="R663" s="15"/>
      <c r="S663" s="15"/>
      <c r="T663" s="15"/>
      <c r="U663" s="15"/>
      <c r="V663" s="17"/>
      <c r="W663" s="17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5"/>
      <c r="AM663" s="15"/>
      <c r="AN663" s="15"/>
      <c r="AO663" s="15"/>
      <c r="AP663" s="15"/>
      <c r="AQ663" s="15"/>
      <c r="AR663" s="15"/>
      <c r="AS663" s="15"/>
      <c r="AT663" s="15"/>
      <c r="AU663" s="15"/>
      <c r="AV663" s="15"/>
      <c r="AW663" s="15"/>
      <c r="AX663" s="15"/>
      <c r="AY663" s="15"/>
      <c r="AZ663" s="15"/>
      <c r="BA663" s="15"/>
      <c r="BB663" s="15"/>
      <c r="BC663" s="15"/>
      <c r="BD663" s="15"/>
      <c r="BE663" s="15"/>
      <c r="BF663" s="15"/>
      <c r="BG663" s="15"/>
      <c r="BH663" s="15"/>
      <c r="BI663" s="15"/>
    </row>
    <row r="664" spans="1:61" ht="15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7"/>
      <c r="O664" s="17"/>
      <c r="P664" s="15"/>
      <c r="Q664" s="15"/>
      <c r="R664" s="15"/>
      <c r="S664" s="15"/>
      <c r="T664" s="15"/>
      <c r="U664" s="15"/>
      <c r="V664" s="17"/>
      <c r="W664" s="17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  <c r="AL664" s="15"/>
      <c r="AM664" s="15"/>
      <c r="AN664" s="15"/>
      <c r="AO664" s="15"/>
      <c r="AP664" s="15"/>
      <c r="AQ664" s="15"/>
      <c r="AR664" s="15"/>
      <c r="AS664" s="15"/>
      <c r="AT664" s="15"/>
      <c r="AU664" s="15"/>
      <c r="AV664" s="15"/>
      <c r="AW664" s="15"/>
      <c r="AX664" s="15"/>
      <c r="AY664" s="15"/>
      <c r="AZ664" s="15"/>
      <c r="BA664" s="15"/>
      <c r="BB664" s="15"/>
      <c r="BC664" s="15"/>
      <c r="BD664" s="15"/>
      <c r="BE664" s="15"/>
      <c r="BF664" s="15"/>
      <c r="BG664" s="15"/>
      <c r="BH664" s="15"/>
      <c r="BI664" s="15"/>
    </row>
    <row r="665" spans="1:61" ht="15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7"/>
      <c r="O665" s="17"/>
      <c r="P665" s="15"/>
      <c r="Q665" s="15"/>
      <c r="R665" s="15"/>
      <c r="S665" s="15"/>
      <c r="T665" s="15"/>
      <c r="U665" s="15"/>
      <c r="V665" s="17"/>
      <c r="W665" s="17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  <c r="AM665" s="15"/>
      <c r="AN665" s="15"/>
      <c r="AO665" s="15"/>
      <c r="AP665" s="15"/>
      <c r="AQ665" s="15"/>
      <c r="AR665" s="15"/>
      <c r="AS665" s="15"/>
      <c r="AT665" s="15"/>
      <c r="AU665" s="15"/>
      <c r="AV665" s="15"/>
      <c r="AW665" s="15"/>
      <c r="AX665" s="15"/>
      <c r="AY665" s="15"/>
      <c r="AZ665" s="15"/>
      <c r="BA665" s="15"/>
      <c r="BB665" s="15"/>
      <c r="BC665" s="15"/>
      <c r="BD665" s="15"/>
      <c r="BE665" s="15"/>
      <c r="BF665" s="15"/>
      <c r="BG665" s="15"/>
      <c r="BH665" s="15"/>
      <c r="BI665" s="15"/>
    </row>
    <row r="666" spans="1:61" ht="15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7"/>
      <c r="O666" s="17"/>
      <c r="P666" s="15"/>
      <c r="Q666" s="15"/>
      <c r="R666" s="15"/>
      <c r="S666" s="15"/>
      <c r="T666" s="15"/>
      <c r="U666" s="15"/>
      <c r="V666" s="17"/>
      <c r="W666" s="17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  <c r="AL666" s="15"/>
      <c r="AM666" s="15"/>
      <c r="AN666" s="15"/>
      <c r="AO666" s="15"/>
      <c r="AP666" s="15"/>
      <c r="AQ666" s="15"/>
      <c r="AR666" s="15"/>
      <c r="AS666" s="15"/>
      <c r="AT666" s="15"/>
      <c r="AU666" s="15"/>
      <c r="AV666" s="15"/>
      <c r="AW666" s="15"/>
      <c r="AX666" s="15"/>
      <c r="AY666" s="15"/>
      <c r="AZ666" s="15"/>
      <c r="BA666" s="15"/>
      <c r="BB666" s="15"/>
      <c r="BC666" s="15"/>
      <c r="BD666" s="15"/>
      <c r="BE666" s="15"/>
      <c r="BF666" s="15"/>
      <c r="BG666" s="15"/>
      <c r="BH666" s="15"/>
      <c r="BI666" s="15"/>
    </row>
    <row r="667" spans="1:61" ht="15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7"/>
      <c r="O667" s="17"/>
      <c r="P667" s="15"/>
      <c r="Q667" s="15"/>
      <c r="R667" s="15"/>
      <c r="S667" s="15"/>
      <c r="T667" s="15"/>
      <c r="U667" s="15"/>
      <c r="V667" s="17"/>
      <c r="W667" s="17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  <c r="AM667" s="15"/>
      <c r="AN667" s="15"/>
      <c r="AO667" s="15"/>
      <c r="AP667" s="15"/>
      <c r="AQ667" s="15"/>
      <c r="AR667" s="15"/>
      <c r="AS667" s="15"/>
      <c r="AT667" s="15"/>
      <c r="AU667" s="15"/>
      <c r="AV667" s="15"/>
      <c r="AW667" s="15"/>
      <c r="AX667" s="15"/>
      <c r="AY667" s="15"/>
      <c r="AZ667" s="15"/>
      <c r="BA667" s="15"/>
      <c r="BB667" s="15"/>
      <c r="BC667" s="15"/>
      <c r="BD667" s="15"/>
      <c r="BE667" s="15"/>
      <c r="BF667" s="15"/>
      <c r="BG667" s="15"/>
      <c r="BH667" s="15"/>
      <c r="BI667" s="15"/>
    </row>
    <row r="668" spans="1:61" ht="15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7"/>
      <c r="O668" s="17"/>
      <c r="P668" s="15"/>
      <c r="Q668" s="15"/>
      <c r="R668" s="15"/>
      <c r="S668" s="15"/>
      <c r="T668" s="15"/>
      <c r="U668" s="15"/>
      <c r="V668" s="17"/>
      <c r="W668" s="17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  <c r="AM668" s="15"/>
      <c r="AN668" s="15"/>
      <c r="AO668" s="15"/>
      <c r="AP668" s="15"/>
      <c r="AQ668" s="15"/>
      <c r="AR668" s="15"/>
      <c r="AS668" s="15"/>
      <c r="AT668" s="15"/>
      <c r="AU668" s="15"/>
      <c r="AV668" s="15"/>
      <c r="AW668" s="15"/>
      <c r="AX668" s="15"/>
      <c r="AY668" s="15"/>
      <c r="AZ668" s="15"/>
      <c r="BA668" s="15"/>
      <c r="BB668" s="15"/>
      <c r="BC668" s="15"/>
      <c r="BD668" s="15"/>
      <c r="BE668" s="15"/>
      <c r="BF668" s="15"/>
      <c r="BG668" s="15"/>
      <c r="BH668" s="15"/>
      <c r="BI668" s="15"/>
    </row>
    <row r="669" spans="1:61" ht="15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7"/>
      <c r="O669" s="17"/>
      <c r="P669" s="15"/>
      <c r="Q669" s="15"/>
      <c r="R669" s="15"/>
      <c r="S669" s="15"/>
      <c r="T669" s="15"/>
      <c r="U669" s="15"/>
      <c r="V669" s="17"/>
      <c r="W669" s="17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  <c r="AM669" s="15"/>
      <c r="AN669" s="15"/>
      <c r="AO669" s="15"/>
      <c r="AP669" s="15"/>
      <c r="AQ669" s="15"/>
      <c r="AR669" s="15"/>
      <c r="AS669" s="15"/>
      <c r="AT669" s="15"/>
      <c r="AU669" s="15"/>
      <c r="AV669" s="15"/>
      <c r="AW669" s="15"/>
      <c r="AX669" s="15"/>
      <c r="AY669" s="15"/>
      <c r="AZ669" s="15"/>
      <c r="BA669" s="15"/>
      <c r="BB669" s="15"/>
      <c r="BC669" s="15"/>
      <c r="BD669" s="15"/>
      <c r="BE669" s="15"/>
      <c r="BF669" s="15"/>
      <c r="BG669" s="15"/>
      <c r="BH669" s="15"/>
      <c r="BI669" s="15"/>
    </row>
    <row r="670" spans="1:61" ht="15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7"/>
      <c r="O670" s="17"/>
      <c r="P670" s="15"/>
      <c r="Q670" s="15"/>
      <c r="R670" s="15"/>
      <c r="S670" s="15"/>
      <c r="T670" s="15"/>
      <c r="U670" s="15"/>
      <c r="V670" s="17"/>
      <c r="W670" s="17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  <c r="AL670" s="15"/>
      <c r="AM670" s="15"/>
      <c r="AN670" s="15"/>
      <c r="AO670" s="15"/>
      <c r="AP670" s="15"/>
      <c r="AQ670" s="15"/>
      <c r="AR670" s="15"/>
      <c r="AS670" s="15"/>
      <c r="AT670" s="15"/>
      <c r="AU670" s="15"/>
      <c r="AV670" s="15"/>
      <c r="AW670" s="15"/>
      <c r="AX670" s="15"/>
      <c r="AY670" s="15"/>
      <c r="AZ670" s="15"/>
      <c r="BA670" s="15"/>
      <c r="BB670" s="15"/>
      <c r="BC670" s="15"/>
      <c r="BD670" s="15"/>
      <c r="BE670" s="15"/>
      <c r="BF670" s="15"/>
      <c r="BG670" s="15"/>
      <c r="BH670" s="15"/>
      <c r="BI670" s="15"/>
    </row>
    <row r="671" spans="1:61" ht="15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7"/>
      <c r="O671" s="17"/>
      <c r="P671" s="15"/>
      <c r="Q671" s="15"/>
      <c r="R671" s="15"/>
      <c r="S671" s="15"/>
      <c r="T671" s="15"/>
      <c r="U671" s="15"/>
      <c r="V671" s="17"/>
      <c r="W671" s="17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  <c r="AM671" s="15"/>
      <c r="AN671" s="15"/>
      <c r="AO671" s="15"/>
      <c r="AP671" s="15"/>
      <c r="AQ671" s="15"/>
      <c r="AR671" s="15"/>
      <c r="AS671" s="15"/>
      <c r="AT671" s="15"/>
      <c r="AU671" s="15"/>
      <c r="AV671" s="15"/>
      <c r="AW671" s="15"/>
      <c r="AX671" s="15"/>
      <c r="AY671" s="15"/>
      <c r="AZ671" s="15"/>
      <c r="BA671" s="15"/>
      <c r="BB671" s="15"/>
      <c r="BC671" s="15"/>
      <c r="BD671" s="15"/>
      <c r="BE671" s="15"/>
      <c r="BF671" s="15"/>
      <c r="BG671" s="15"/>
      <c r="BH671" s="15"/>
      <c r="BI671" s="15"/>
    </row>
    <row r="672" spans="1:61" ht="15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7"/>
      <c r="O672" s="17"/>
      <c r="P672" s="15"/>
      <c r="Q672" s="15"/>
      <c r="R672" s="15"/>
      <c r="S672" s="15"/>
      <c r="T672" s="15"/>
      <c r="U672" s="15"/>
      <c r="V672" s="17"/>
      <c r="W672" s="17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  <c r="AM672" s="15"/>
      <c r="AN672" s="15"/>
      <c r="AO672" s="15"/>
      <c r="AP672" s="15"/>
      <c r="AQ672" s="15"/>
      <c r="AR672" s="15"/>
      <c r="AS672" s="15"/>
      <c r="AT672" s="15"/>
      <c r="AU672" s="15"/>
      <c r="AV672" s="15"/>
      <c r="AW672" s="15"/>
      <c r="AX672" s="15"/>
      <c r="AY672" s="15"/>
      <c r="AZ672" s="15"/>
      <c r="BA672" s="15"/>
      <c r="BB672" s="15"/>
      <c r="BC672" s="15"/>
      <c r="BD672" s="15"/>
      <c r="BE672" s="15"/>
      <c r="BF672" s="15"/>
      <c r="BG672" s="15"/>
      <c r="BH672" s="15"/>
      <c r="BI672" s="15"/>
    </row>
    <row r="673" spans="1:61" ht="15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7"/>
      <c r="O673" s="17"/>
      <c r="P673" s="15"/>
      <c r="Q673" s="15"/>
      <c r="R673" s="15"/>
      <c r="S673" s="15"/>
      <c r="T673" s="15"/>
      <c r="U673" s="15"/>
      <c r="V673" s="17"/>
      <c r="W673" s="17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  <c r="AM673" s="15"/>
      <c r="AN673" s="15"/>
      <c r="AO673" s="15"/>
      <c r="AP673" s="15"/>
      <c r="AQ673" s="15"/>
      <c r="AR673" s="15"/>
      <c r="AS673" s="15"/>
      <c r="AT673" s="15"/>
      <c r="AU673" s="15"/>
      <c r="AV673" s="15"/>
      <c r="AW673" s="15"/>
      <c r="AX673" s="15"/>
      <c r="AY673" s="15"/>
      <c r="AZ673" s="15"/>
      <c r="BA673" s="15"/>
      <c r="BB673" s="15"/>
      <c r="BC673" s="15"/>
      <c r="BD673" s="15"/>
      <c r="BE673" s="15"/>
      <c r="BF673" s="15"/>
      <c r="BG673" s="15"/>
      <c r="BH673" s="15"/>
      <c r="BI673" s="15"/>
    </row>
    <row r="674" spans="1:61" ht="15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7"/>
      <c r="O674" s="17"/>
      <c r="P674" s="15"/>
      <c r="Q674" s="15"/>
      <c r="R674" s="15"/>
      <c r="S674" s="15"/>
      <c r="T674" s="15"/>
      <c r="U674" s="15"/>
      <c r="V674" s="17"/>
      <c r="W674" s="17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  <c r="AM674" s="15"/>
      <c r="AN674" s="15"/>
      <c r="AO674" s="15"/>
      <c r="AP674" s="15"/>
      <c r="AQ674" s="15"/>
      <c r="AR674" s="15"/>
      <c r="AS674" s="15"/>
      <c r="AT674" s="15"/>
      <c r="AU674" s="15"/>
      <c r="AV674" s="15"/>
      <c r="AW674" s="15"/>
      <c r="AX674" s="15"/>
      <c r="AY674" s="15"/>
      <c r="AZ674" s="15"/>
      <c r="BA674" s="15"/>
      <c r="BB674" s="15"/>
      <c r="BC674" s="15"/>
      <c r="BD674" s="15"/>
      <c r="BE674" s="15"/>
      <c r="BF674" s="15"/>
      <c r="BG674" s="15"/>
      <c r="BH674" s="15"/>
      <c r="BI674" s="15"/>
    </row>
    <row r="675" spans="1:61" ht="15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7"/>
      <c r="O675" s="17"/>
      <c r="P675" s="15"/>
      <c r="Q675" s="15"/>
      <c r="R675" s="15"/>
      <c r="S675" s="15"/>
      <c r="T675" s="15"/>
      <c r="U675" s="15"/>
      <c r="V675" s="17"/>
      <c r="W675" s="17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/>
      <c r="AM675" s="15"/>
      <c r="AN675" s="15"/>
      <c r="AO675" s="15"/>
      <c r="AP675" s="15"/>
      <c r="AQ675" s="15"/>
      <c r="AR675" s="15"/>
      <c r="AS675" s="15"/>
      <c r="AT675" s="15"/>
      <c r="AU675" s="15"/>
      <c r="AV675" s="15"/>
      <c r="AW675" s="15"/>
      <c r="AX675" s="15"/>
      <c r="AY675" s="15"/>
      <c r="AZ675" s="15"/>
      <c r="BA675" s="15"/>
      <c r="BB675" s="15"/>
      <c r="BC675" s="15"/>
      <c r="BD675" s="15"/>
      <c r="BE675" s="15"/>
      <c r="BF675" s="15"/>
      <c r="BG675" s="15"/>
      <c r="BH675" s="15"/>
      <c r="BI675" s="15"/>
    </row>
    <row r="676" spans="1:61" ht="15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7"/>
      <c r="O676" s="17"/>
      <c r="P676" s="15"/>
      <c r="Q676" s="15"/>
      <c r="R676" s="15"/>
      <c r="S676" s="15"/>
      <c r="T676" s="15"/>
      <c r="U676" s="15"/>
      <c r="V676" s="17"/>
      <c r="W676" s="17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  <c r="AM676" s="15"/>
      <c r="AN676" s="15"/>
      <c r="AO676" s="15"/>
      <c r="AP676" s="15"/>
      <c r="AQ676" s="15"/>
      <c r="AR676" s="15"/>
      <c r="AS676" s="15"/>
      <c r="AT676" s="15"/>
      <c r="AU676" s="15"/>
      <c r="AV676" s="15"/>
      <c r="AW676" s="15"/>
      <c r="AX676" s="15"/>
      <c r="AY676" s="15"/>
      <c r="AZ676" s="15"/>
      <c r="BA676" s="15"/>
      <c r="BB676" s="15"/>
      <c r="BC676" s="15"/>
      <c r="BD676" s="15"/>
      <c r="BE676" s="15"/>
      <c r="BF676" s="15"/>
      <c r="BG676" s="15"/>
      <c r="BH676" s="15"/>
      <c r="BI676" s="15"/>
    </row>
    <row r="677" spans="1:61" ht="15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7"/>
      <c r="O677" s="17"/>
      <c r="P677" s="15"/>
      <c r="Q677" s="15"/>
      <c r="R677" s="15"/>
      <c r="S677" s="15"/>
      <c r="T677" s="15"/>
      <c r="U677" s="15"/>
      <c r="V677" s="17"/>
      <c r="W677" s="17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  <c r="AM677" s="15"/>
      <c r="AN677" s="15"/>
      <c r="AO677" s="15"/>
      <c r="AP677" s="15"/>
      <c r="AQ677" s="15"/>
      <c r="AR677" s="15"/>
      <c r="AS677" s="15"/>
      <c r="AT677" s="15"/>
      <c r="AU677" s="15"/>
      <c r="AV677" s="15"/>
      <c r="AW677" s="15"/>
      <c r="AX677" s="15"/>
      <c r="AY677" s="15"/>
      <c r="AZ677" s="15"/>
      <c r="BA677" s="15"/>
      <c r="BB677" s="15"/>
      <c r="BC677" s="15"/>
      <c r="BD677" s="15"/>
      <c r="BE677" s="15"/>
      <c r="BF677" s="15"/>
      <c r="BG677" s="15"/>
      <c r="BH677" s="15"/>
      <c r="BI677" s="15"/>
    </row>
    <row r="678" spans="1:61" ht="15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7"/>
      <c r="O678" s="17"/>
      <c r="P678" s="15"/>
      <c r="Q678" s="15"/>
      <c r="R678" s="15"/>
      <c r="S678" s="15"/>
      <c r="T678" s="15"/>
      <c r="U678" s="15"/>
      <c r="V678" s="17"/>
      <c r="W678" s="17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  <c r="AL678" s="15"/>
      <c r="AM678" s="15"/>
      <c r="AN678" s="15"/>
      <c r="AO678" s="15"/>
      <c r="AP678" s="15"/>
      <c r="AQ678" s="15"/>
      <c r="AR678" s="15"/>
      <c r="AS678" s="15"/>
      <c r="AT678" s="15"/>
      <c r="AU678" s="15"/>
      <c r="AV678" s="15"/>
      <c r="AW678" s="15"/>
      <c r="AX678" s="15"/>
      <c r="AY678" s="15"/>
      <c r="AZ678" s="15"/>
      <c r="BA678" s="15"/>
      <c r="BB678" s="15"/>
      <c r="BC678" s="15"/>
      <c r="BD678" s="15"/>
      <c r="BE678" s="15"/>
      <c r="BF678" s="15"/>
      <c r="BG678" s="15"/>
      <c r="BH678" s="15"/>
      <c r="BI678" s="15"/>
    </row>
    <row r="679" spans="1:61" ht="15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7"/>
      <c r="O679" s="17"/>
      <c r="P679" s="15"/>
      <c r="Q679" s="15"/>
      <c r="R679" s="15"/>
      <c r="S679" s="15"/>
      <c r="T679" s="15"/>
      <c r="U679" s="15"/>
      <c r="V679" s="17"/>
      <c r="W679" s="17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  <c r="AM679" s="15"/>
      <c r="AN679" s="15"/>
      <c r="AO679" s="15"/>
      <c r="AP679" s="15"/>
      <c r="AQ679" s="15"/>
      <c r="AR679" s="15"/>
      <c r="AS679" s="15"/>
      <c r="AT679" s="15"/>
      <c r="AU679" s="15"/>
      <c r="AV679" s="15"/>
      <c r="AW679" s="15"/>
      <c r="AX679" s="15"/>
      <c r="AY679" s="15"/>
      <c r="AZ679" s="15"/>
      <c r="BA679" s="15"/>
      <c r="BB679" s="15"/>
      <c r="BC679" s="15"/>
      <c r="BD679" s="15"/>
      <c r="BE679" s="15"/>
      <c r="BF679" s="15"/>
      <c r="BG679" s="15"/>
      <c r="BH679" s="15"/>
      <c r="BI679" s="15"/>
    </row>
    <row r="680" spans="1:61" ht="15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7"/>
      <c r="O680" s="17"/>
      <c r="P680" s="15"/>
      <c r="Q680" s="15"/>
      <c r="R680" s="15"/>
      <c r="S680" s="15"/>
      <c r="T680" s="15"/>
      <c r="U680" s="15"/>
      <c r="V680" s="17"/>
      <c r="W680" s="17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  <c r="AL680" s="15"/>
      <c r="AM680" s="15"/>
      <c r="AN680" s="15"/>
      <c r="AO680" s="15"/>
      <c r="AP680" s="15"/>
      <c r="AQ680" s="15"/>
      <c r="AR680" s="15"/>
      <c r="AS680" s="15"/>
      <c r="AT680" s="15"/>
      <c r="AU680" s="15"/>
      <c r="AV680" s="15"/>
      <c r="AW680" s="15"/>
      <c r="AX680" s="15"/>
      <c r="AY680" s="15"/>
      <c r="AZ680" s="15"/>
      <c r="BA680" s="15"/>
      <c r="BB680" s="15"/>
      <c r="BC680" s="15"/>
      <c r="BD680" s="15"/>
      <c r="BE680" s="15"/>
      <c r="BF680" s="15"/>
      <c r="BG680" s="15"/>
      <c r="BH680" s="15"/>
      <c r="BI680" s="15"/>
    </row>
    <row r="681" spans="1:61" ht="15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7"/>
      <c r="O681" s="17"/>
      <c r="P681" s="15"/>
      <c r="Q681" s="15"/>
      <c r="R681" s="15"/>
      <c r="S681" s="15"/>
      <c r="T681" s="15"/>
      <c r="U681" s="15"/>
      <c r="V681" s="17"/>
      <c r="W681" s="17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  <c r="AM681" s="15"/>
      <c r="AN681" s="15"/>
      <c r="AO681" s="15"/>
      <c r="AP681" s="15"/>
      <c r="AQ681" s="15"/>
      <c r="AR681" s="15"/>
      <c r="AS681" s="15"/>
      <c r="AT681" s="15"/>
      <c r="AU681" s="15"/>
      <c r="AV681" s="15"/>
      <c r="AW681" s="15"/>
      <c r="AX681" s="15"/>
      <c r="AY681" s="15"/>
      <c r="AZ681" s="15"/>
      <c r="BA681" s="15"/>
      <c r="BB681" s="15"/>
      <c r="BC681" s="15"/>
      <c r="BD681" s="15"/>
      <c r="BE681" s="15"/>
      <c r="BF681" s="15"/>
      <c r="BG681" s="15"/>
      <c r="BH681" s="15"/>
      <c r="BI681" s="15"/>
    </row>
    <row r="682" spans="1:61" ht="15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7"/>
      <c r="O682" s="17"/>
      <c r="P682" s="15"/>
      <c r="Q682" s="15"/>
      <c r="R682" s="15"/>
      <c r="S682" s="15"/>
      <c r="T682" s="15"/>
      <c r="U682" s="15"/>
      <c r="V682" s="17"/>
      <c r="W682" s="17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  <c r="AM682" s="15"/>
      <c r="AN682" s="15"/>
      <c r="AO682" s="15"/>
      <c r="AP682" s="15"/>
      <c r="AQ682" s="15"/>
      <c r="AR682" s="15"/>
      <c r="AS682" s="15"/>
      <c r="AT682" s="15"/>
      <c r="AU682" s="15"/>
      <c r="AV682" s="15"/>
      <c r="AW682" s="15"/>
      <c r="AX682" s="15"/>
      <c r="AY682" s="15"/>
      <c r="AZ682" s="15"/>
      <c r="BA682" s="15"/>
      <c r="BB682" s="15"/>
      <c r="BC682" s="15"/>
      <c r="BD682" s="15"/>
      <c r="BE682" s="15"/>
      <c r="BF682" s="15"/>
      <c r="BG682" s="15"/>
      <c r="BH682" s="15"/>
      <c r="BI682" s="15"/>
    </row>
    <row r="683" spans="1:61" ht="15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7"/>
      <c r="O683" s="17"/>
      <c r="P683" s="15"/>
      <c r="Q683" s="15"/>
      <c r="R683" s="15"/>
      <c r="S683" s="15"/>
      <c r="T683" s="15"/>
      <c r="U683" s="15"/>
      <c r="V683" s="17"/>
      <c r="W683" s="17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  <c r="AM683" s="15"/>
      <c r="AN683" s="15"/>
      <c r="AO683" s="15"/>
      <c r="AP683" s="15"/>
      <c r="AQ683" s="15"/>
      <c r="AR683" s="15"/>
      <c r="AS683" s="15"/>
      <c r="AT683" s="15"/>
      <c r="AU683" s="15"/>
      <c r="AV683" s="15"/>
      <c r="AW683" s="15"/>
      <c r="AX683" s="15"/>
      <c r="AY683" s="15"/>
      <c r="AZ683" s="15"/>
      <c r="BA683" s="15"/>
      <c r="BB683" s="15"/>
      <c r="BC683" s="15"/>
      <c r="BD683" s="15"/>
      <c r="BE683" s="15"/>
      <c r="BF683" s="15"/>
      <c r="BG683" s="15"/>
      <c r="BH683" s="15"/>
      <c r="BI683" s="15"/>
    </row>
    <row r="684" spans="1:61" ht="15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7"/>
      <c r="O684" s="17"/>
      <c r="P684" s="15"/>
      <c r="Q684" s="15"/>
      <c r="R684" s="15"/>
      <c r="S684" s="15"/>
      <c r="T684" s="15"/>
      <c r="U684" s="15"/>
      <c r="V684" s="17"/>
      <c r="W684" s="17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  <c r="AL684" s="15"/>
      <c r="AM684" s="15"/>
      <c r="AN684" s="15"/>
      <c r="AO684" s="15"/>
      <c r="AP684" s="15"/>
      <c r="AQ684" s="15"/>
      <c r="AR684" s="15"/>
      <c r="AS684" s="15"/>
      <c r="AT684" s="15"/>
      <c r="AU684" s="15"/>
      <c r="AV684" s="15"/>
      <c r="AW684" s="15"/>
      <c r="AX684" s="15"/>
      <c r="AY684" s="15"/>
      <c r="AZ684" s="15"/>
      <c r="BA684" s="15"/>
      <c r="BB684" s="15"/>
      <c r="BC684" s="15"/>
      <c r="BD684" s="15"/>
      <c r="BE684" s="15"/>
      <c r="BF684" s="15"/>
      <c r="BG684" s="15"/>
      <c r="BH684" s="15"/>
      <c r="BI684" s="15"/>
    </row>
    <row r="685" spans="1:61" ht="15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7"/>
      <c r="O685" s="17"/>
      <c r="P685" s="15"/>
      <c r="Q685" s="15"/>
      <c r="R685" s="15"/>
      <c r="S685" s="15"/>
      <c r="T685" s="15"/>
      <c r="U685" s="15"/>
      <c r="V685" s="17"/>
      <c r="W685" s="17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  <c r="AM685" s="15"/>
      <c r="AN685" s="15"/>
      <c r="AO685" s="15"/>
      <c r="AP685" s="15"/>
      <c r="AQ685" s="15"/>
      <c r="AR685" s="15"/>
      <c r="AS685" s="15"/>
      <c r="AT685" s="15"/>
      <c r="AU685" s="15"/>
      <c r="AV685" s="15"/>
      <c r="AW685" s="15"/>
      <c r="AX685" s="15"/>
      <c r="AY685" s="15"/>
      <c r="AZ685" s="15"/>
      <c r="BA685" s="15"/>
      <c r="BB685" s="15"/>
      <c r="BC685" s="15"/>
      <c r="BD685" s="15"/>
      <c r="BE685" s="15"/>
      <c r="BF685" s="15"/>
      <c r="BG685" s="15"/>
      <c r="BH685" s="15"/>
      <c r="BI685" s="15"/>
    </row>
    <row r="686" spans="1:61" ht="15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7"/>
      <c r="O686" s="17"/>
      <c r="P686" s="15"/>
      <c r="Q686" s="15"/>
      <c r="R686" s="15"/>
      <c r="S686" s="15"/>
      <c r="T686" s="15"/>
      <c r="U686" s="15"/>
      <c r="V686" s="17"/>
      <c r="W686" s="17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  <c r="AL686" s="15"/>
      <c r="AM686" s="15"/>
      <c r="AN686" s="15"/>
      <c r="AO686" s="15"/>
      <c r="AP686" s="15"/>
      <c r="AQ686" s="15"/>
      <c r="AR686" s="15"/>
      <c r="AS686" s="15"/>
      <c r="AT686" s="15"/>
      <c r="AU686" s="15"/>
      <c r="AV686" s="15"/>
      <c r="AW686" s="15"/>
      <c r="AX686" s="15"/>
      <c r="AY686" s="15"/>
      <c r="AZ686" s="15"/>
      <c r="BA686" s="15"/>
      <c r="BB686" s="15"/>
      <c r="BC686" s="15"/>
      <c r="BD686" s="15"/>
      <c r="BE686" s="15"/>
      <c r="BF686" s="15"/>
      <c r="BG686" s="15"/>
      <c r="BH686" s="15"/>
      <c r="BI686" s="15"/>
    </row>
    <row r="687" spans="1:61" ht="15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7"/>
      <c r="O687" s="17"/>
      <c r="P687" s="15"/>
      <c r="Q687" s="15"/>
      <c r="R687" s="15"/>
      <c r="S687" s="15"/>
      <c r="T687" s="15"/>
      <c r="U687" s="15"/>
      <c r="V687" s="17"/>
      <c r="W687" s="17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/>
      <c r="AM687" s="15"/>
      <c r="AN687" s="15"/>
      <c r="AO687" s="15"/>
      <c r="AP687" s="15"/>
      <c r="AQ687" s="15"/>
      <c r="AR687" s="15"/>
      <c r="AS687" s="15"/>
      <c r="AT687" s="15"/>
      <c r="AU687" s="15"/>
      <c r="AV687" s="15"/>
      <c r="AW687" s="15"/>
      <c r="AX687" s="15"/>
      <c r="AY687" s="15"/>
      <c r="AZ687" s="15"/>
      <c r="BA687" s="15"/>
      <c r="BB687" s="15"/>
      <c r="BC687" s="15"/>
      <c r="BD687" s="15"/>
      <c r="BE687" s="15"/>
      <c r="BF687" s="15"/>
      <c r="BG687" s="15"/>
      <c r="BH687" s="15"/>
      <c r="BI687" s="15"/>
    </row>
    <row r="688" spans="1:61" ht="15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7"/>
      <c r="O688" s="17"/>
      <c r="P688" s="15"/>
      <c r="Q688" s="15"/>
      <c r="R688" s="15"/>
      <c r="S688" s="15"/>
      <c r="T688" s="15"/>
      <c r="U688" s="15"/>
      <c r="V688" s="17"/>
      <c r="W688" s="17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L688" s="15"/>
      <c r="AM688" s="15"/>
      <c r="AN688" s="15"/>
      <c r="AO688" s="15"/>
      <c r="AP688" s="15"/>
      <c r="AQ688" s="15"/>
      <c r="AR688" s="15"/>
      <c r="AS688" s="15"/>
      <c r="AT688" s="15"/>
      <c r="AU688" s="15"/>
      <c r="AV688" s="15"/>
      <c r="AW688" s="15"/>
      <c r="AX688" s="15"/>
      <c r="AY688" s="15"/>
      <c r="AZ688" s="15"/>
      <c r="BA688" s="15"/>
      <c r="BB688" s="15"/>
      <c r="BC688" s="15"/>
      <c r="BD688" s="15"/>
      <c r="BE688" s="15"/>
      <c r="BF688" s="15"/>
      <c r="BG688" s="15"/>
      <c r="BH688" s="15"/>
      <c r="BI688" s="15"/>
    </row>
    <row r="689" spans="1:61" ht="15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7"/>
      <c r="O689" s="17"/>
      <c r="P689" s="15"/>
      <c r="Q689" s="15"/>
      <c r="R689" s="15"/>
      <c r="S689" s="15"/>
      <c r="T689" s="15"/>
      <c r="U689" s="15"/>
      <c r="V689" s="17"/>
      <c r="W689" s="17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  <c r="AM689" s="15"/>
      <c r="AN689" s="15"/>
      <c r="AO689" s="15"/>
      <c r="AP689" s="15"/>
      <c r="AQ689" s="15"/>
      <c r="AR689" s="15"/>
      <c r="AS689" s="15"/>
      <c r="AT689" s="15"/>
      <c r="AU689" s="15"/>
      <c r="AV689" s="15"/>
      <c r="AW689" s="15"/>
      <c r="AX689" s="15"/>
      <c r="AY689" s="15"/>
      <c r="AZ689" s="15"/>
      <c r="BA689" s="15"/>
      <c r="BB689" s="15"/>
      <c r="BC689" s="15"/>
      <c r="BD689" s="15"/>
      <c r="BE689" s="15"/>
      <c r="BF689" s="15"/>
      <c r="BG689" s="15"/>
      <c r="BH689" s="15"/>
      <c r="BI689" s="15"/>
    </row>
    <row r="690" spans="1:61" ht="15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7"/>
      <c r="O690" s="17"/>
      <c r="P690" s="15"/>
      <c r="Q690" s="15"/>
      <c r="R690" s="15"/>
      <c r="S690" s="15"/>
      <c r="T690" s="15"/>
      <c r="U690" s="15"/>
      <c r="V690" s="17"/>
      <c r="W690" s="17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  <c r="AL690" s="15"/>
      <c r="AM690" s="15"/>
      <c r="AN690" s="15"/>
      <c r="AO690" s="15"/>
      <c r="AP690" s="15"/>
      <c r="AQ690" s="15"/>
      <c r="AR690" s="15"/>
      <c r="AS690" s="15"/>
      <c r="AT690" s="15"/>
      <c r="AU690" s="15"/>
      <c r="AV690" s="15"/>
      <c r="AW690" s="15"/>
      <c r="AX690" s="15"/>
      <c r="AY690" s="15"/>
      <c r="AZ690" s="15"/>
      <c r="BA690" s="15"/>
      <c r="BB690" s="15"/>
      <c r="BC690" s="15"/>
      <c r="BD690" s="15"/>
      <c r="BE690" s="15"/>
      <c r="BF690" s="15"/>
      <c r="BG690" s="15"/>
      <c r="BH690" s="15"/>
      <c r="BI690" s="15"/>
    </row>
    <row r="691" spans="1:61" ht="15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7"/>
      <c r="O691" s="17"/>
      <c r="P691" s="15"/>
      <c r="Q691" s="15"/>
      <c r="R691" s="15"/>
      <c r="S691" s="15"/>
      <c r="T691" s="15"/>
      <c r="U691" s="15"/>
      <c r="V691" s="17"/>
      <c r="W691" s="17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  <c r="AL691" s="15"/>
      <c r="AM691" s="15"/>
      <c r="AN691" s="15"/>
      <c r="AO691" s="15"/>
      <c r="AP691" s="15"/>
      <c r="AQ691" s="15"/>
      <c r="AR691" s="15"/>
      <c r="AS691" s="15"/>
      <c r="AT691" s="15"/>
      <c r="AU691" s="15"/>
      <c r="AV691" s="15"/>
      <c r="AW691" s="15"/>
      <c r="AX691" s="15"/>
      <c r="AY691" s="15"/>
      <c r="AZ691" s="15"/>
      <c r="BA691" s="15"/>
      <c r="BB691" s="15"/>
      <c r="BC691" s="15"/>
      <c r="BD691" s="15"/>
      <c r="BE691" s="15"/>
      <c r="BF691" s="15"/>
      <c r="BG691" s="15"/>
      <c r="BH691" s="15"/>
      <c r="BI691" s="15"/>
    </row>
    <row r="692" spans="1:61" ht="15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7"/>
      <c r="O692" s="17"/>
      <c r="P692" s="15"/>
      <c r="Q692" s="15"/>
      <c r="R692" s="15"/>
      <c r="S692" s="15"/>
      <c r="T692" s="15"/>
      <c r="U692" s="15"/>
      <c r="V692" s="17"/>
      <c r="W692" s="17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  <c r="AL692" s="15"/>
      <c r="AM692" s="15"/>
      <c r="AN692" s="15"/>
      <c r="AO692" s="15"/>
      <c r="AP692" s="15"/>
      <c r="AQ692" s="15"/>
      <c r="AR692" s="15"/>
      <c r="AS692" s="15"/>
      <c r="AT692" s="15"/>
      <c r="AU692" s="15"/>
      <c r="AV692" s="15"/>
      <c r="AW692" s="15"/>
      <c r="AX692" s="15"/>
      <c r="AY692" s="15"/>
      <c r="AZ692" s="15"/>
      <c r="BA692" s="15"/>
      <c r="BB692" s="15"/>
      <c r="BC692" s="15"/>
      <c r="BD692" s="15"/>
      <c r="BE692" s="15"/>
      <c r="BF692" s="15"/>
      <c r="BG692" s="15"/>
      <c r="BH692" s="15"/>
      <c r="BI692" s="15"/>
    </row>
    <row r="693" spans="1:61" ht="15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7"/>
      <c r="O693" s="17"/>
      <c r="P693" s="15"/>
      <c r="Q693" s="15"/>
      <c r="R693" s="15"/>
      <c r="S693" s="15"/>
      <c r="T693" s="15"/>
      <c r="U693" s="15"/>
      <c r="V693" s="17"/>
      <c r="W693" s="17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  <c r="AL693" s="15"/>
      <c r="AM693" s="15"/>
      <c r="AN693" s="15"/>
      <c r="AO693" s="15"/>
      <c r="AP693" s="15"/>
      <c r="AQ693" s="15"/>
      <c r="AR693" s="15"/>
      <c r="AS693" s="15"/>
      <c r="AT693" s="15"/>
      <c r="AU693" s="15"/>
      <c r="AV693" s="15"/>
      <c r="AW693" s="15"/>
      <c r="AX693" s="15"/>
      <c r="AY693" s="15"/>
      <c r="AZ693" s="15"/>
      <c r="BA693" s="15"/>
      <c r="BB693" s="15"/>
      <c r="BC693" s="15"/>
      <c r="BD693" s="15"/>
      <c r="BE693" s="15"/>
      <c r="BF693" s="15"/>
      <c r="BG693" s="15"/>
      <c r="BH693" s="15"/>
      <c r="BI693" s="15"/>
    </row>
    <row r="694" spans="1:61" ht="15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7"/>
      <c r="O694" s="17"/>
      <c r="P694" s="15"/>
      <c r="Q694" s="15"/>
      <c r="R694" s="15"/>
      <c r="S694" s="15"/>
      <c r="T694" s="15"/>
      <c r="U694" s="15"/>
      <c r="V694" s="17"/>
      <c r="W694" s="17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  <c r="AL694" s="15"/>
      <c r="AM694" s="15"/>
      <c r="AN694" s="15"/>
      <c r="AO694" s="15"/>
      <c r="AP694" s="15"/>
      <c r="AQ694" s="15"/>
      <c r="AR694" s="15"/>
      <c r="AS694" s="15"/>
      <c r="AT694" s="15"/>
      <c r="AU694" s="15"/>
      <c r="AV694" s="15"/>
      <c r="AW694" s="15"/>
      <c r="AX694" s="15"/>
      <c r="AY694" s="15"/>
      <c r="AZ694" s="15"/>
      <c r="BA694" s="15"/>
      <c r="BB694" s="15"/>
      <c r="BC694" s="15"/>
      <c r="BD694" s="15"/>
      <c r="BE694" s="15"/>
      <c r="BF694" s="15"/>
      <c r="BG694" s="15"/>
      <c r="BH694" s="15"/>
      <c r="BI694" s="15"/>
    </row>
    <row r="695" spans="1:61" ht="15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7"/>
      <c r="O695" s="17"/>
      <c r="P695" s="15"/>
      <c r="Q695" s="15"/>
      <c r="R695" s="15"/>
      <c r="S695" s="15"/>
      <c r="T695" s="15"/>
      <c r="U695" s="15"/>
      <c r="V695" s="17"/>
      <c r="W695" s="17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  <c r="AL695" s="15"/>
      <c r="AM695" s="15"/>
      <c r="AN695" s="15"/>
      <c r="AO695" s="15"/>
      <c r="AP695" s="15"/>
      <c r="AQ695" s="15"/>
      <c r="AR695" s="15"/>
      <c r="AS695" s="15"/>
      <c r="AT695" s="15"/>
      <c r="AU695" s="15"/>
      <c r="AV695" s="15"/>
      <c r="AW695" s="15"/>
      <c r="AX695" s="15"/>
      <c r="AY695" s="15"/>
      <c r="AZ695" s="15"/>
      <c r="BA695" s="15"/>
      <c r="BB695" s="15"/>
      <c r="BC695" s="15"/>
      <c r="BD695" s="15"/>
      <c r="BE695" s="15"/>
      <c r="BF695" s="15"/>
      <c r="BG695" s="15"/>
      <c r="BH695" s="15"/>
      <c r="BI695" s="15"/>
    </row>
    <row r="696" spans="1:61" ht="15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7"/>
      <c r="O696" s="17"/>
      <c r="P696" s="15"/>
      <c r="Q696" s="15"/>
      <c r="R696" s="15"/>
      <c r="S696" s="15"/>
      <c r="T696" s="15"/>
      <c r="U696" s="15"/>
      <c r="V696" s="17"/>
      <c r="W696" s="17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  <c r="AL696" s="15"/>
      <c r="AM696" s="15"/>
      <c r="AN696" s="15"/>
      <c r="AO696" s="15"/>
      <c r="AP696" s="15"/>
      <c r="AQ696" s="15"/>
      <c r="AR696" s="15"/>
      <c r="AS696" s="15"/>
      <c r="AT696" s="15"/>
      <c r="AU696" s="15"/>
      <c r="AV696" s="15"/>
      <c r="AW696" s="15"/>
      <c r="AX696" s="15"/>
      <c r="AY696" s="15"/>
      <c r="AZ696" s="15"/>
      <c r="BA696" s="15"/>
      <c r="BB696" s="15"/>
      <c r="BC696" s="15"/>
      <c r="BD696" s="15"/>
      <c r="BE696" s="15"/>
      <c r="BF696" s="15"/>
      <c r="BG696" s="15"/>
      <c r="BH696" s="15"/>
      <c r="BI696" s="15"/>
    </row>
    <row r="697" spans="1:61" ht="15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7"/>
      <c r="O697" s="17"/>
      <c r="P697" s="15"/>
      <c r="Q697" s="15"/>
      <c r="R697" s="15"/>
      <c r="S697" s="15"/>
      <c r="T697" s="15"/>
      <c r="U697" s="15"/>
      <c r="V697" s="17"/>
      <c r="W697" s="17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  <c r="AL697" s="15"/>
      <c r="AM697" s="15"/>
      <c r="AN697" s="15"/>
      <c r="AO697" s="15"/>
      <c r="AP697" s="15"/>
      <c r="AQ697" s="15"/>
      <c r="AR697" s="15"/>
      <c r="AS697" s="15"/>
      <c r="AT697" s="15"/>
      <c r="AU697" s="15"/>
      <c r="AV697" s="15"/>
      <c r="AW697" s="15"/>
      <c r="AX697" s="15"/>
      <c r="AY697" s="15"/>
      <c r="AZ697" s="15"/>
      <c r="BA697" s="15"/>
      <c r="BB697" s="15"/>
      <c r="BC697" s="15"/>
      <c r="BD697" s="15"/>
      <c r="BE697" s="15"/>
      <c r="BF697" s="15"/>
      <c r="BG697" s="15"/>
      <c r="BH697" s="15"/>
      <c r="BI697" s="15"/>
    </row>
    <row r="698" spans="1:61" ht="15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7"/>
      <c r="O698" s="17"/>
      <c r="P698" s="15"/>
      <c r="Q698" s="15"/>
      <c r="R698" s="15"/>
      <c r="S698" s="15"/>
      <c r="T698" s="15"/>
      <c r="U698" s="15"/>
      <c r="V698" s="17"/>
      <c r="W698" s="17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  <c r="AL698" s="15"/>
      <c r="AM698" s="15"/>
      <c r="AN698" s="15"/>
      <c r="AO698" s="15"/>
      <c r="AP698" s="15"/>
      <c r="AQ698" s="15"/>
      <c r="AR698" s="15"/>
      <c r="AS698" s="15"/>
      <c r="AT698" s="15"/>
      <c r="AU698" s="15"/>
      <c r="AV698" s="15"/>
      <c r="AW698" s="15"/>
      <c r="AX698" s="15"/>
      <c r="AY698" s="15"/>
      <c r="AZ698" s="15"/>
      <c r="BA698" s="15"/>
      <c r="BB698" s="15"/>
      <c r="BC698" s="15"/>
      <c r="BD698" s="15"/>
      <c r="BE698" s="15"/>
      <c r="BF698" s="15"/>
      <c r="BG698" s="15"/>
      <c r="BH698" s="15"/>
      <c r="BI698" s="15"/>
    </row>
    <row r="699" spans="1:61" ht="15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7"/>
      <c r="O699" s="17"/>
      <c r="P699" s="15"/>
      <c r="Q699" s="15"/>
      <c r="R699" s="15"/>
      <c r="S699" s="15"/>
      <c r="T699" s="15"/>
      <c r="U699" s="15"/>
      <c r="V699" s="17"/>
      <c r="W699" s="17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/>
      <c r="AM699" s="15"/>
      <c r="AN699" s="15"/>
      <c r="AO699" s="15"/>
      <c r="AP699" s="15"/>
      <c r="AQ699" s="15"/>
      <c r="AR699" s="15"/>
      <c r="AS699" s="15"/>
      <c r="AT699" s="15"/>
      <c r="AU699" s="15"/>
      <c r="AV699" s="15"/>
      <c r="AW699" s="15"/>
      <c r="AX699" s="15"/>
      <c r="AY699" s="15"/>
      <c r="AZ699" s="15"/>
      <c r="BA699" s="15"/>
      <c r="BB699" s="15"/>
      <c r="BC699" s="15"/>
      <c r="BD699" s="15"/>
      <c r="BE699" s="15"/>
      <c r="BF699" s="15"/>
      <c r="BG699" s="15"/>
      <c r="BH699" s="15"/>
      <c r="BI699" s="15"/>
    </row>
    <row r="700" spans="1:61" ht="15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7"/>
      <c r="O700" s="17"/>
      <c r="P700" s="15"/>
      <c r="Q700" s="15"/>
      <c r="R700" s="15"/>
      <c r="S700" s="15"/>
      <c r="T700" s="15"/>
      <c r="U700" s="15"/>
      <c r="V700" s="17"/>
      <c r="W700" s="17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  <c r="AL700" s="15"/>
      <c r="AM700" s="15"/>
      <c r="AN700" s="15"/>
      <c r="AO700" s="15"/>
      <c r="AP700" s="15"/>
      <c r="AQ700" s="15"/>
      <c r="AR700" s="15"/>
      <c r="AS700" s="15"/>
      <c r="AT700" s="15"/>
      <c r="AU700" s="15"/>
      <c r="AV700" s="15"/>
      <c r="AW700" s="15"/>
      <c r="AX700" s="15"/>
      <c r="AY700" s="15"/>
      <c r="AZ700" s="15"/>
      <c r="BA700" s="15"/>
      <c r="BB700" s="15"/>
      <c r="BC700" s="15"/>
      <c r="BD700" s="15"/>
      <c r="BE700" s="15"/>
      <c r="BF700" s="15"/>
      <c r="BG700" s="15"/>
      <c r="BH700" s="15"/>
      <c r="BI700" s="15"/>
    </row>
    <row r="701" spans="1:61" ht="15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7"/>
      <c r="O701" s="17"/>
      <c r="P701" s="15"/>
      <c r="Q701" s="15"/>
      <c r="R701" s="15"/>
      <c r="S701" s="15"/>
      <c r="T701" s="15"/>
      <c r="U701" s="15"/>
      <c r="V701" s="17"/>
      <c r="W701" s="17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  <c r="AL701" s="15"/>
      <c r="AM701" s="15"/>
      <c r="AN701" s="15"/>
      <c r="AO701" s="15"/>
      <c r="AP701" s="15"/>
      <c r="AQ701" s="15"/>
      <c r="AR701" s="15"/>
      <c r="AS701" s="15"/>
      <c r="AT701" s="15"/>
      <c r="AU701" s="15"/>
      <c r="AV701" s="15"/>
      <c r="AW701" s="15"/>
      <c r="AX701" s="15"/>
      <c r="AY701" s="15"/>
      <c r="AZ701" s="15"/>
      <c r="BA701" s="15"/>
      <c r="BB701" s="15"/>
      <c r="BC701" s="15"/>
      <c r="BD701" s="15"/>
      <c r="BE701" s="15"/>
      <c r="BF701" s="15"/>
      <c r="BG701" s="15"/>
      <c r="BH701" s="15"/>
      <c r="BI701" s="15"/>
    </row>
    <row r="702" spans="1:61" ht="15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7"/>
      <c r="O702" s="17"/>
      <c r="P702" s="15"/>
      <c r="Q702" s="15"/>
      <c r="R702" s="15"/>
      <c r="S702" s="15"/>
      <c r="T702" s="15"/>
      <c r="U702" s="15"/>
      <c r="V702" s="17"/>
      <c r="W702" s="17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  <c r="AL702" s="15"/>
      <c r="AM702" s="15"/>
      <c r="AN702" s="15"/>
      <c r="AO702" s="15"/>
      <c r="AP702" s="15"/>
      <c r="AQ702" s="15"/>
      <c r="AR702" s="15"/>
      <c r="AS702" s="15"/>
      <c r="AT702" s="15"/>
      <c r="AU702" s="15"/>
      <c r="AV702" s="15"/>
      <c r="AW702" s="15"/>
      <c r="AX702" s="15"/>
      <c r="AY702" s="15"/>
      <c r="AZ702" s="15"/>
      <c r="BA702" s="15"/>
      <c r="BB702" s="15"/>
      <c r="BC702" s="15"/>
      <c r="BD702" s="15"/>
      <c r="BE702" s="15"/>
      <c r="BF702" s="15"/>
      <c r="BG702" s="15"/>
      <c r="BH702" s="15"/>
      <c r="BI702" s="15"/>
    </row>
    <row r="703" spans="1:61" ht="15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7"/>
      <c r="O703" s="17"/>
      <c r="P703" s="15"/>
      <c r="Q703" s="15"/>
      <c r="R703" s="15"/>
      <c r="S703" s="15"/>
      <c r="T703" s="15"/>
      <c r="U703" s="15"/>
      <c r="V703" s="17"/>
      <c r="W703" s="17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  <c r="AL703" s="15"/>
      <c r="AM703" s="15"/>
      <c r="AN703" s="15"/>
      <c r="AO703" s="15"/>
      <c r="AP703" s="15"/>
      <c r="AQ703" s="15"/>
      <c r="AR703" s="15"/>
      <c r="AS703" s="15"/>
      <c r="AT703" s="15"/>
      <c r="AU703" s="15"/>
      <c r="AV703" s="15"/>
      <c r="AW703" s="15"/>
      <c r="AX703" s="15"/>
      <c r="AY703" s="15"/>
      <c r="AZ703" s="15"/>
      <c r="BA703" s="15"/>
      <c r="BB703" s="15"/>
      <c r="BC703" s="15"/>
      <c r="BD703" s="15"/>
      <c r="BE703" s="15"/>
      <c r="BF703" s="15"/>
      <c r="BG703" s="15"/>
      <c r="BH703" s="15"/>
      <c r="BI703" s="15"/>
    </row>
    <row r="704" spans="1:61" ht="15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7"/>
      <c r="O704" s="17"/>
      <c r="P704" s="15"/>
      <c r="Q704" s="15"/>
      <c r="R704" s="15"/>
      <c r="S704" s="15"/>
      <c r="T704" s="15"/>
      <c r="U704" s="15"/>
      <c r="V704" s="17"/>
      <c r="W704" s="17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  <c r="AL704" s="15"/>
      <c r="AM704" s="15"/>
      <c r="AN704" s="15"/>
      <c r="AO704" s="15"/>
      <c r="AP704" s="15"/>
      <c r="AQ704" s="15"/>
      <c r="AR704" s="15"/>
      <c r="AS704" s="15"/>
      <c r="AT704" s="15"/>
      <c r="AU704" s="15"/>
      <c r="AV704" s="15"/>
      <c r="AW704" s="15"/>
      <c r="AX704" s="15"/>
      <c r="AY704" s="15"/>
      <c r="AZ704" s="15"/>
      <c r="BA704" s="15"/>
      <c r="BB704" s="15"/>
      <c r="BC704" s="15"/>
      <c r="BD704" s="15"/>
      <c r="BE704" s="15"/>
      <c r="BF704" s="15"/>
      <c r="BG704" s="15"/>
      <c r="BH704" s="15"/>
      <c r="BI704" s="15"/>
    </row>
    <row r="705" spans="1:61" ht="15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7"/>
      <c r="O705" s="17"/>
      <c r="P705" s="15"/>
      <c r="Q705" s="15"/>
      <c r="R705" s="15"/>
      <c r="S705" s="15"/>
      <c r="T705" s="15"/>
      <c r="U705" s="15"/>
      <c r="V705" s="17"/>
      <c r="W705" s="17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  <c r="AM705" s="15"/>
      <c r="AN705" s="15"/>
      <c r="AO705" s="15"/>
      <c r="AP705" s="15"/>
      <c r="AQ705" s="15"/>
      <c r="AR705" s="15"/>
      <c r="AS705" s="15"/>
      <c r="AT705" s="15"/>
      <c r="AU705" s="15"/>
      <c r="AV705" s="15"/>
      <c r="AW705" s="15"/>
      <c r="AX705" s="15"/>
      <c r="AY705" s="15"/>
      <c r="AZ705" s="15"/>
      <c r="BA705" s="15"/>
      <c r="BB705" s="15"/>
      <c r="BC705" s="15"/>
      <c r="BD705" s="15"/>
      <c r="BE705" s="15"/>
      <c r="BF705" s="15"/>
      <c r="BG705" s="15"/>
      <c r="BH705" s="15"/>
      <c r="BI705" s="15"/>
    </row>
    <row r="706" spans="1:61" ht="15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7"/>
      <c r="O706" s="17"/>
      <c r="P706" s="15"/>
      <c r="Q706" s="15"/>
      <c r="R706" s="15"/>
      <c r="S706" s="15"/>
      <c r="T706" s="15"/>
      <c r="U706" s="15"/>
      <c r="V706" s="17"/>
      <c r="W706" s="17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  <c r="AL706" s="15"/>
      <c r="AM706" s="15"/>
      <c r="AN706" s="15"/>
      <c r="AO706" s="15"/>
      <c r="AP706" s="15"/>
      <c r="AQ706" s="15"/>
      <c r="AR706" s="15"/>
      <c r="AS706" s="15"/>
      <c r="AT706" s="15"/>
      <c r="AU706" s="15"/>
      <c r="AV706" s="15"/>
      <c r="AW706" s="15"/>
      <c r="AX706" s="15"/>
      <c r="AY706" s="15"/>
      <c r="AZ706" s="15"/>
      <c r="BA706" s="15"/>
      <c r="BB706" s="15"/>
      <c r="BC706" s="15"/>
      <c r="BD706" s="15"/>
      <c r="BE706" s="15"/>
      <c r="BF706" s="15"/>
      <c r="BG706" s="15"/>
      <c r="BH706" s="15"/>
      <c r="BI706" s="15"/>
    </row>
    <row r="707" spans="1:61" ht="15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7"/>
      <c r="O707" s="17"/>
      <c r="P707" s="15"/>
      <c r="Q707" s="15"/>
      <c r="R707" s="15"/>
      <c r="S707" s="15"/>
      <c r="T707" s="15"/>
      <c r="U707" s="15"/>
      <c r="V707" s="17"/>
      <c r="W707" s="17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  <c r="AL707" s="15"/>
      <c r="AM707" s="15"/>
      <c r="AN707" s="15"/>
      <c r="AO707" s="15"/>
      <c r="AP707" s="15"/>
      <c r="AQ707" s="15"/>
      <c r="AR707" s="15"/>
      <c r="AS707" s="15"/>
      <c r="AT707" s="15"/>
      <c r="AU707" s="15"/>
      <c r="AV707" s="15"/>
      <c r="AW707" s="15"/>
      <c r="AX707" s="15"/>
      <c r="AY707" s="15"/>
      <c r="AZ707" s="15"/>
      <c r="BA707" s="15"/>
      <c r="BB707" s="15"/>
      <c r="BC707" s="15"/>
      <c r="BD707" s="15"/>
      <c r="BE707" s="15"/>
      <c r="BF707" s="15"/>
      <c r="BG707" s="15"/>
      <c r="BH707" s="15"/>
      <c r="BI707" s="15"/>
    </row>
    <row r="708" spans="1:61" ht="15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7"/>
      <c r="O708" s="17"/>
      <c r="P708" s="15"/>
      <c r="Q708" s="15"/>
      <c r="R708" s="15"/>
      <c r="S708" s="15"/>
      <c r="T708" s="15"/>
      <c r="U708" s="15"/>
      <c r="V708" s="17"/>
      <c r="W708" s="17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  <c r="AL708" s="15"/>
      <c r="AM708" s="15"/>
      <c r="AN708" s="15"/>
      <c r="AO708" s="15"/>
      <c r="AP708" s="15"/>
      <c r="AQ708" s="15"/>
      <c r="AR708" s="15"/>
      <c r="AS708" s="15"/>
      <c r="AT708" s="15"/>
      <c r="AU708" s="15"/>
      <c r="AV708" s="15"/>
      <c r="AW708" s="15"/>
      <c r="AX708" s="15"/>
      <c r="AY708" s="15"/>
      <c r="AZ708" s="15"/>
      <c r="BA708" s="15"/>
      <c r="BB708" s="15"/>
      <c r="BC708" s="15"/>
      <c r="BD708" s="15"/>
      <c r="BE708" s="15"/>
      <c r="BF708" s="15"/>
      <c r="BG708" s="15"/>
      <c r="BH708" s="15"/>
      <c r="BI708" s="15"/>
    </row>
    <row r="709" spans="1:61" ht="15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7"/>
      <c r="O709" s="17"/>
      <c r="P709" s="15"/>
      <c r="Q709" s="15"/>
      <c r="R709" s="15"/>
      <c r="S709" s="15"/>
      <c r="T709" s="15"/>
      <c r="U709" s="15"/>
      <c r="V709" s="17"/>
      <c r="W709" s="17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  <c r="AL709" s="15"/>
      <c r="AM709" s="15"/>
      <c r="AN709" s="15"/>
      <c r="AO709" s="15"/>
      <c r="AP709" s="15"/>
      <c r="AQ709" s="15"/>
      <c r="AR709" s="15"/>
      <c r="AS709" s="15"/>
      <c r="AT709" s="15"/>
      <c r="AU709" s="15"/>
      <c r="AV709" s="15"/>
      <c r="AW709" s="15"/>
      <c r="AX709" s="15"/>
      <c r="AY709" s="15"/>
      <c r="AZ709" s="15"/>
      <c r="BA709" s="15"/>
      <c r="BB709" s="15"/>
      <c r="BC709" s="15"/>
      <c r="BD709" s="15"/>
      <c r="BE709" s="15"/>
      <c r="BF709" s="15"/>
      <c r="BG709" s="15"/>
      <c r="BH709" s="15"/>
      <c r="BI709" s="15"/>
    </row>
    <row r="710" spans="1:61" ht="15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7"/>
      <c r="O710" s="17"/>
      <c r="P710" s="15"/>
      <c r="Q710" s="15"/>
      <c r="R710" s="15"/>
      <c r="S710" s="15"/>
      <c r="T710" s="15"/>
      <c r="U710" s="15"/>
      <c r="V710" s="17"/>
      <c r="W710" s="17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  <c r="AL710" s="15"/>
      <c r="AM710" s="15"/>
      <c r="AN710" s="15"/>
      <c r="AO710" s="15"/>
      <c r="AP710" s="15"/>
      <c r="AQ710" s="15"/>
      <c r="AR710" s="15"/>
      <c r="AS710" s="15"/>
      <c r="AT710" s="15"/>
      <c r="AU710" s="15"/>
      <c r="AV710" s="15"/>
      <c r="AW710" s="15"/>
      <c r="AX710" s="15"/>
      <c r="AY710" s="15"/>
      <c r="AZ710" s="15"/>
      <c r="BA710" s="15"/>
      <c r="BB710" s="15"/>
      <c r="BC710" s="15"/>
      <c r="BD710" s="15"/>
      <c r="BE710" s="15"/>
      <c r="BF710" s="15"/>
      <c r="BG710" s="15"/>
      <c r="BH710" s="15"/>
      <c r="BI710" s="15"/>
    </row>
    <row r="711" spans="1:61" ht="15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7"/>
      <c r="O711" s="17"/>
      <c r="P711" s="15"/>
      <c r="Q711" s="15"/>
      <c r="R711" s="15"/>
      <c r="S711" s="15"/>
      <c r="T711" s="15"/>
      <c r="U711" s="15"/>
      <c r="V711" s="17"/>
      <c r="W711" s="17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  <c r="AL711" s="15"/>
      <c r="AM711" s="15"/>
      <c r="AN711" s="15"/>
      <c r="AO711" s="15"/>
      <c r="AP711" s="15"/>
      <c r="AQ711" s="15"/>
      <c r="AR711" s="15"/>
      <c r="AS711" s="15"/>
      <c r="AT711" s="15"/>
      <c r="AU711" s="15"/>
      <c r="AV711" s="15"/>
      <c r="AW711" s="15"/>
      <c r="AX711" s="15"/>
      <c r="AY711" s="15"/>
      <c r="AZ711" s="15"/>
      <c r="BA711" s="15"/>
      <c r="BB711" s="15"/>
      <c r="BC711" s="15"/>
      <c r="BD711" s="15"/>
      <c r="BE711" s="15"/>
      <c r="BF711" s="15"/>
      <c r="BG711" s="15"/>
      <c r="BH711" s="15"/>
      <c r="BI711" s="15"/>
    </row>
    <row r="712" spans="1:61" ht="15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7"/>
      <c r="O712" s="17"/>
      <c r="P712" s="15"/>
      <c r="Q712" s="15"/>
      <c r="R712" s="15"/>
      <c r="S712" s="15"/>
      <c r="T712" s="15"/>
      <c r="U712" s="15"/>
      <c r="V712" s="17"/>
      <c r="W712" s="17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  <c r="AL712" s="15"/>
      <c r="AM712" s="15"/>
      <c r="AN712" s="15"/>
      <c r="AO712" s="15"/>
      <c r="AP712" s="15"/>
      <c r="AQ712" s="15"/>
      <c r="AR712" s="15"/>
      <c r="AS712" s="15"/>
      <c r="AT712" s="15"/>
      <c r="AU712" s="15"/>
      <c r="AV712" s="15"/>
      <c r="AW712" s="15"/>
      <c r="AX712" s="15"/>
      <c r="AY712" s="15"/>
      <c r="AZ712" s="15"/>
      <c r="BA712" s="15"/>
      <c r="BB712" s="15"/>
      <c r="BC712" s="15"/>
      <c r="BD712" s="15"/>
      <c r="BE712" s="15"/>
      <c r="BF712" s="15"/>
      <c r="BG712" s="15"/>
      <c r="BH712" s="15"/>
      <c r="BI712" s="15"/>
    </row>
    <row r="713" spans="1:61" ht="15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7"/>
      <c r="O713" s="17"/>
      <c r="P713" s="15"/>
      <c r="Q713" s="15"/>
      <c r="R713" s="15"/>
      <c r="S713" s="15"/>
      <c r="T713" s="15"/>
      <c r="U713" s="15"/>
      <c r="V713" s="17"/>
      <c r="W713" s="17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  <c r="AL713" s="15"/>
      <c r="AM713" s="15"/>
      <c r="AN713" s="15"/>
      <c r="AO713" s="15"/>
      <c r="AP713" s="15"/>
      <c r="AQ713" s="15"/>
      <c r="AR713" s="15"/>
      <c r="AS713" s="15"/>
      <c r="AT713" s="15"/>
      <c r="AU713" s="15"/>
      <c r="AV713" s="15"/>
      <c r="AW713" s="15"/>
      <c r="AX713" s="15"/>
      <c r="AY713" s="15"/>
      <c r="AZ713" s="15"/>
      <c r="BA713" s="15"/>
      <c r="BB713" s="15"/>
      <c r="BC713" s="15"/>
      <c r="BD713" s="15"/>
      <c r="BE713" s="15"/>
      <c r="BF713" s="15"/>
      <c r="BG713" s="15"/>
      <c r="BH713" s="15"/>
      <c r="BI713" s="15"/>
    </row>
    <row r="714" spans="1:61" ht="15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7"/>
      <c r="O714" s="17"/>
      <c r="P714" s="15"/>
      <c r="Q714" s="15"/>
      <c r="R714" s="15"/>
      <c r="S714" s="15"/>
      <c r="T714" s="15"/>
      <c r="U714" s="15"/>
      <c r="V714" s="17"/>
      <c r="W714" s="17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  <c r="AL714" s="15"/>
      <c r="AM714" s="15"/>
      <c r="AN714" s="15"/>
      <c r="AO714" s="15"/>
      <c r="AP714" s="15"/>
      <c r="AQ714" s="15"/>
      <c r="AR714" s="15"/>
      <c r="AS714" s="15"/>
      <c r="AT714" s="15"/>
      <c r="AU714" s="15"/>
      <c r="AV714" s="15"/>
      <c r="AW714" s="15"/>
      <c r="AX714" s="15"/>
      <c r="AY714" s="15"/>
      <c r="AZ714" s="15"/>
      <c r="BA714" s="15"/>
      <c r="BB714" s="15"/>
      <c r="BC714" s="15"/>
      <c r="BD714" s="15"/>
      <c r="BE714" s="15"/>
      <c r="BF714" s="15"/>
      <c r="BG714" s="15"/>
      <c r="BH714" s="15"/>
      <c r="BI714" s="15"/>
    </row>
    <row r="715" spans="1:61" ht="15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7"/>
      <c r="O715" s="17"/>
      <c r="P715" s="15"/>
      <c r="Q715" s="15"/>
      <c r="R715" s="15"/>
      <c r="S715" s="15"/>
      <c r="T715" s="15"/>
      <c r="U715" s="15"/>
      <c r="V715" s="17"/>
      <c r="W715" s="17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  <c r="AL715" s="15"/>
      <c r="AM715" s="15"/>
      <c r="AN715" s="15"/>
      <c r="AO715" s="15"/>
      <c r="AP715" s="15"/>
      <c r="AQ715" s="15"/>
      <c r="AR715" s="15"/>
      <c r="AS715" s="15"/>
      <c r="AT715" s="15"/>
      <c r="AU715" s="15"/>
      <c r="AV715" s="15"/>
      <c r="AW715" s="15"/>
      <c r="AX715" s="15"/>
      <c r="AY715" s="15"/>
      <c r="AZ715" s="15"/>
      <c r="BA715" s="15"/>
      <c r="BB715" s="15"/>
      <c r="BC715" s="15"/>
      <c r="BD715" s="15"/>
      <c r="BE715" s="15"/>
      <c r="BF715" s="15"/>
      <c r="BG715" s="15"/>
      <c r="BH715" s="15"/>
      <c r="BI715" s="15"/>
    </row>
    <row r="716" spans="1:61" ht="15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7"/>
      <c r="O716" s="17"/>
      <c r="P716" s="15"/>
      <c r="Q716" s="15"/>
      <c r="R716" s="15"/>
      <c r="S716" s="15"/>
      <c r="T716" s="15"/>
      <c r="U716" s="15"/>
      <c r="V716" s="17"/>
      <c r="W716" s="17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  <c r="AL716" s="15"/>
      <c r="AM716" s="15"/>
      <c r="AN716" s="15"/>
      <c r="AO716" s="15"/>
      <c r="AP716" s="15"/>
      <c r="AQ716" s="15"/>
      <c r="AR716" s="15"/>
      <c r="AS716" s="15"/>
      <c r="AT716" s="15"/>
      <c r="AU716" s="15"/>
      <c r="AV716" s="15"/>
      <c r="AW716" s="15"/>
      <c r="AX716" s="15"/>
      <c r="AY716" s="15"/>
      <c r="AZ716" s="15"/>
      <c r="BA716" s="15"/>
      <c r="BB716" s="15"/>
      <c r="BC716" s="15"/>
      <c r="BD716" s="15"/>
      <c r="BE716" s="15"/>
      <c r="BF716" s="15"/>
      <c r="BG716" s="15"/>
      <c r="BH716" s="15"/>
      <c r="BI716" s="15"/>
    </row>
    <row r="717" spans="1:61" ht="15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7"/>
      <c r="O717" s="17"/>
      <c r="P717" s="15"/>
      <c r="Q717" s="15"/>
      <c r="R717" s="15"/>
      <c r="S717" s="15"/>
      <c r="T717" s="15"/>
      <c r="U717" s="15"/>
      <c r="V717" s="17"/>
      <c r="W717" s="17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  <c r="AL717" s="15"/>
      <c r="AM717" s="15"/>
      <c r="AN717" s="15"/>
      <c r="AO717" s="15"/>
      <c r="AP717" s="15"/>
      <c r="AQ717" s="15"/>
      <c r="AR717" s="15"/>
      <c r="AS717" s="15"/>
      <c r="AT717" s="15"/>
      <c r="AU717" s="15"/>
      <c r="AV717" s="15"/>
      <c r="AW717" s="15"/>
      <c r="AX717" s="15"/>
      <c r="AY717" s="15"/>
      <c r="AZ717" s="15"/>
      <c r="BA717" s="15"/>
      <c r="BB717" s="15"/>
      <c r="BC717" s="15"/>
      <c r="BD717" s="15"/>
      <c r="BE717" s="15"/>
      <c r="BF717" s="15"/>
      <c r="BG717" s="15"/>
      <c r="BH717" s="15"/>
      <c r="BI717" s="15"/>
    </row>
    <row r="718" spans="1:61" ht="15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7"/>
      <c r="O718" s="17"/>
      <c r="P718" s="15"/>
      <c r="Q718" s="15"/>
      <c r="R718" s="15"/>
      <c r="S718" s="15"/>
      <c r="T718" s="15"/>
      <c r="U718" s="15"/>
      <c r="V718" s="17"/>
      <c r="W718" s="17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  <c r="AL718" s="15"/>
      <c r="AM718" s="15"/>
      <c r="AN718" s="15"/>
      <c r="AO718" s="15"/>
      <c r="AP718" s="15"/>
      <c r="AQ718" s="15"/>
      <c r="AR718" s="15"/>
      <c r="AS718" s="15"/>
      <c r="AT718" s="15"/>
      <c r="AU718" s="15"/>
      <c r="AV718" s="15"/>
      <c r="AW718" s="15"/>
      <c r="AX718" s="15"/>
      <c r="AY718" s="15"/>
      <c r="AZ718" s="15"/>
      <c r="BA718" s="15"/>
      <c r="BB718" s="15"/>
      <c r="BC718" s="15"/>
      <c r="BD718" s="15"/>
      <c r="BE718" s="15"/>
      <c r="BF718" s="15"/>
      <c r="BG718" s="15"/>
      <c r="BH718" s="15"/>
      <c r="BI718" s="15"/>
    </row>
    <row r="719" spans="1:61" ht="15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7"/>
      <c r="O719" s="17"/>
      <c r="P719" s="15"/>
      <c r="Q719" s="15"/>
      <c r="R719" s="15"/>
      <c r="S719" s="15"/>
      <c r="T719" s="15"/>
      <c r="U719" s="15"/>
      <c r="V719" s="17"/>
      <c r="W719" s="17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  <c r="AL719" s="15"/>
      <c r="AM719" s="15"/>
      <c r="AN719" s="15"/>
      <c r="AO719" s="15"/>
      <c r="AP719" s="15"/>
      <c r="AQ719" s="15"/>
      <c r="AR719" s="15"/>
      <c r="AS719" s="15"/>
      <c r="AT719" s="15"/>
      <c r="AU719" s="15"/>
      <c r="AV719" s="15"/>
      <c r="AW719" s="15"/>
      <c r="AX719" s="15"/>
      <c r="AY719" s="15"/>
      <c r="AZ719" s="15"/>
      <c r="BA719" s="15"/>
      <c r="BB719" s="15"/>
      <c r="BC719" s="15"/>
      <c r="BD719" s="15"/>
      <c r="BE719" s="15"/>
      <c r="BF719" s="15"/>
      <c r="BG719" s="15"/>
      <c r="BH719" s="15"/>
      <c r="BI719" s="15"/>
    </row>
    <row r="720" spans="1:61" ht="15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7"/>
      <c r="O720" s="17"/>
      <c r="P720" s="15"/>
      <c r="Q720" s="15"/>
      <c r="R720" s="15"/>
      <c r="S720" s="15"/>
      <c r="T720" s="15"/>
      <c r="U720" s="15"/>
      <c r="V720" s="17"/>
      <c r="W720" s="17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  <c r="AL720" s="15"/>
      <c r="AM720" s="15"/>
      <c r="AN720" s="15"/>
      <c r="AO720" s="15"/>
      <c r="AP720" s="15"/>
      <c r="AQ720" s="15"/>
      <c r="AR720" s="15"/>
      <c r="AS720" s="15"/>
      <c r="AT720" s="15"/>
      <c r="AU720" s="15"/>
      <c r="AV720" s="15"/>
      <c r="AW720" s="15"/>
      <c r="AX720" s="15"/>
      <c r="AY720" s="15"/>
      <c r="AZ720" s="15"/>
      <c r="BA720" s="15"/>
      <c r="BB720" s="15"/>
      <c r="BC720" s="15"/>
      <c r="BD720" s="15"/>
      <c r="BE720" s="15"/>
      <c r="BF720" s="15"/>
      <c r="BG720" s="15"/>
      <c r="BH720" s="15"/>
      <c r="BI720" s="15"/>
    </row>
    <row r="721" spans="1:61" ht="15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7"/>
      <c r="O721" s="17"/>
      <c r="P721" s="15"/>
      <c r="Q721" s="15"/>
      <c r="R721" s="15"/>
      <c r="S721" s="15"/>
      <c r="T721" s="15"/>
      <c r="U721" s="15"/>
      <c r="V721" s="17"/>
      <c r="W721" s="17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  <c r="AL721" s="15"/>
      <c r="AM721" s="15"/>
      <c r="AN721" s="15"/>
      <c r="AO721" s="15"/>
      <c r="AP721" s="15"/>
      <c r="AQ721" s="15"/>
      <c r="AR721" s="15"/>
      <c r="AS721" s="15"/>
      <c r="AT721" s="15"/>
      <c r="AU721" s="15"/>
      <c r="AV721" s="15"/>
      <c r="AW721" s="15"/>
      <c r="AX721" s="15"/>
      <c r="AY721" s="15"/>
      <c r="AZ721" s="15"/>
      <c r="BA721" s="15"/>
      <c r="BB721" s="15"/>
      <c r="BC721" s="15"/>
      <c r="BD721" s="15"/>
      <c r="BE721" s="15"/>
      <c r="BF721" s="15"/>
      <c r="BG721" s="15"/>
      <c r="BH721" s="15"/>
      <c r="BI721" s="15"/>
    </row>
    <row r="722" spans="1:61" ht="15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7"/>
      <c r="O722" s="17"/>
      <c r="P722" s="15"/>
      <c r="Q722" s="15"/>
      <c r="R722" s="15"/>
      <c r="S722" s="15"/>
      <c r="T722" s="15"/>
      <c r="U722" s="15"/>
      <c r="V722" s="17"/>
      <c r="W722" s="17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  <c r="AL722" s="15"/>
      <c r="AM722" s="15"/>
      <c r="AN722" s="15"/>
      <c r="AO722" s="15"/>
      <c r="AP722" s="15"/>
      <c r="AQ722" s="15"/>
      <c r="AR722" s="15"/>
      <c r="AS722" s="15"/>
      <c r="AT722" s="15"/>
      <c r="AU722" s="15"/>
      <c r="AV722" s="15"/>
      <c r="AW722" s="15"/>
      <c r="AX722" s="15"/>
      <c r="AY722" s="15"/>
      <c r="AZ722" s="15"/>
      <c r="BA722" s="15"/>
      <c r="BB722" s="15"/>
      <c r="BC722" s="15"/>
      <c r="BD722" s="15"/>
      <c r="BE722" s="15"/>
      <c r="BF722" s="15"/>
      <c r="BG722" s="15"/>
      <c r="BH722" s="15"/>
      <c r="BI722" s="15"/>
    </row>
    <row r="723" spans="1:61" ht="15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7"/>
      <c r="O723" s="17"/>
      <c r="P723" s="15"/>
      <c r="Q723" s="15"/>
      <c r="R723" s="15"/>
      <c r="S723" s="15"/>
      <c r="T723" s="15"/>
      <c r="U723" s="15"/>
      <c r="V723" s="17"/>
      <c r="W723" s="17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  <c r="AL723" s="15"/>
      <c r="AM723" s="15"/>
      <c r="AN723" s="15"/>
      <c r="AO723" s="15"/>
      <c r="AP723" s="15"/>
      <c r="AQ723" s="15"/>
      <c r="AR723" s="15"/>
      <c r="AS723" s="15"/>
      <c r="AT723" s="15"/>
      <c r="AU723" s="15"/>
      <c r="AV723" s="15"/>
      <c r="AW723" s="15"/>
      <c r="AX723" s="15"/>
      <c r="AY723" s="15"/>
      <c r="AZ723" s="15"/>
      <c r="BA723" s="15"/>
      <c r="BB723" s="15"/>
      <c r="BC723" s="15"/>
      <c r="BD723" s="15"/>
      <c r="BE723" s="15"/>
      <c r="BF723" s="15"/>
      <c r="BG723" s="15"/>
      <c r="BH723" s="15"/>
      <c r="BI723" s="15"/>
    </row>
    <row r="724" spans="1:61" ht="15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7"/>
      <c r="O724" s="17"/>
      <c r="P724" s="15"/>
      <c r="Q724" s="15"/>
      <c r="R724" s="15"/>
      <c r="S724" s="15"/>
      <c r="T724" s="15"/>
      <c r="U724" s="15"/>
      <c r="V724" s="17"/>
      <c r="W724" s="17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  <c r="AL724" s="15"/>
      <c r="AM724" s="15"/>
      <c r="AN724" s="15"/>
      <c r="AO724" s="15"/>
      <c r="AP724" s="15"/>
      <c r="AQ724" s="15"/>
      <c r="AR724" s="15"/>
      <c r="AS724" s="15"/>
      <c r="AT724" s="15"/>
      <c r="AU724" s="15"/>
      <c r="AV724" s="15"/>
      <c r="AW724" s="15"/>
      <c r="AX724" s="15"/>
      <c r="AY724" s="15"/>
      <c r="AZ724" s="15"/>
      <c r="BA724" s="15"/>
      <c r="BB724" s="15"/>
      <c r="BC724" s="15"/>
      <c r="BD724" s="15"/>
      <c r="BE724" s="15"/>
      <c r="BF724" s="15"/>
      <c r="BG724" s="15"/>
      <c r="BH724" s="15"/>
      <c r="BI724" s="15"/>
    </row>
    <row r="725" spans="1:61" ht="15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7"/>
      <c r="O725" s="17"/>
      <c r="P725" s="15"/>
      <c r="Q725" s="15"/>
      <c r="R725" s="15"/>
      <c r="S725" s="15"/>
      <c r="T725" s="15"/>
      <c r="U725" s="15"/>
      <c r="V725" s="17"/>
      <c r="W725" s="17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  <c r="AL725" s="15"/>
      <c r="AM725" s="15"/>
      <c r="AN725" s="15"/>
      <c r="AO725" s="15"/>
      <c r="AP725" s="15"/>
      <c r="AQ725" s="15"/>
      <c r="AR725" s="15"/>
      <c r="AS725" s="15"/>
      <c r="AT725" s="15"/>
      <c r="AU725" s="15"/>
      <c r="AV725" s="15"/>
      <c r="AW725" s="15"/>
      <c r="AX725" s="15"/>
      <c r="AY725" s="15"/>
      <c r="AZ725" s="15"/>
      <c r="BA725" s="15"/>
      <c r="BB725" s="15"/>
      <c r="BC725" s="15"/>
      <c r="BD725" s="15"/>
      <c r="BE725" s="15"/>
      <c r="BF725" s="15"/>
      <c r="BG725" s="15"/>
      <c r="BH725" s="15"/>
      <c r="BI725" s="15"/>
    </row>
    <row r="726" spans="1:61" ht="15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7"/>
      <c r="O726" s="17"/>
      <c r="P726" s="15"/>
      <c r="Q726" s="15"/>
      <c r="R726" s="15"/>
      <c r="S726" s="15"/>
      <c r="T726" s="15"/>
      <c r="U726" s="15"/>
      <c r="V726" s="17"/>
      <c r="W726" s="17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  <c r="AL726" s="15"/>
      <c r="AM726" s="15"/>
      <c r="AN726" s="15"/>
      <c r="AO726" s="15"/>
      <c r="AP726" s="15"/>
      <c r="AQ726" s="15"/>
      <c r="AR726" s="15"/>
      <c r="AS726" s="15"/>
      <c r="AT726" s="15"/>
      <c r="AU726" s="15"/>
      <c r="AV726" s="15"/>
      <c r="AW726" s="15"/>
      <c r="AX726" s="15"/>
      <c r="AY726" s="15"/>
      <c r="AZ726" s="15"/>
      <c r="BA726" s="15"/>
      <c r="BB726" s="15"/>
      <c r="BC726" s="15"/>
      <c r="BD726" s="15"/>
      <c r="BE726" s="15"/>
      <c r="BF726" s="15"/>
      <c r="BG726" s="15"/>
      <c r="BH726" s="15"/>
      <c r="BI726" s="15"/>
    </row>
    <row r="727" spans="1:61" ht="15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7"/>
      <c r="O727" s="17"/>
      <c r="P727" s="15"/>
      <c r="Q727" s="15"/>
      <c r="R727" s="15"/>
      <c r="S727" s="15"/>
      <c r="T727" s="15"/>
      <c r="U727" s="15"/>
      <c r="V727" s="17"/>
      <c r="W727" s="17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  <c r="AL727" s="15"/>
      <c r="AM727" s="15"/>
      <c r="AN727" s="15"/>
      <c r="AO727" s="15"/>
      <c r="AP727" s="15"/>
      <c r="AQ727" s="15"/>
      <c r="AR727" s="15"/>
      <c r="AS727" s="15"/>
      <c r="AT727" s="15"/>
      <c r="AU727" s="15"/>
      <c r="AV727" s="15"/>
      <c r="AW727" s="15"/>
      <c r="AX727" s="15"/>
      <c r="AY727" s="15"/>
      <c r="AZ727" s="15"/>
      <c r="BA727" s="15"/>
      <c r="BB727" s="15"/>
      <c r="BC727" s="15"/>
      <c r="BD727" s="15"/>
      <c r="BE727" s="15"/>
      <c r="BF727" s="15"/>
      <c r="BG727" s="15"/>
      <c r="BH727" s="15"/>
      <c r="BI727" s="15"/>
    </row>
    <row r="728" spans="1:61" ht="15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7"/>
      <c r="O728" s="17"/>
      <c r="P728" s="15"/>
      <c r="Q728" s="15"/>
      <c r="R728" s="15"/>
      <c r="S728" s="15"/>
      <c r="T728" s="15"/>
      <c r="U728" s="15"/>
      <c r="V728" s="17"/>
      <c r="W728" s="17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  <c r="AL728" s="15"/>
      <c r="AM728" s="15"/>
      <c r="AN728" s="15"/>
      <c r="AO728" s="15"/>
      <c r="AP728" s="15"/>
      <c r="AQ728" s="15"/>
      <c r="AR728" s="15"/>
      <c r="AS728" s="15"/>
      <c r="AT728" s="15"/>
      <c r="AU728" s="15"/>
      <c r="AV728" s="15"/>
      <c r="AW728" s="15"/>
      <c r="AX728" s="15"/>
      <c r="AY728" s="15"/>
      <c r="AZ728" s="15"/>
      <c r="BA728" s="15"/>
      <c r="BB728" s="15"/>
      <c r="BC728" s="15"/>
      <c r="BD728" s="15"/>
      <c r="BE728" s="15"/>
      <c r="BF728" s="15"/>
      <c r="BG728" s="15"/>
      <c r="BH728" s="15"/>
      <c r="BI728" s="15"/>
    </row>
    <row r="729" spans="1:61" ht="15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7"/>
      <c r="O729" s="17"/>
      <c r="P729" s="15"/>
      <c r="Q729" s="15"/>
      <c r="R729" s="15"/>
      <c r="S729" s="15"/>
      <c r="T729" s="15"/>
      <c r="U729" s="15"/>
      <c r="V729" s="17"/>
      <c r="W729" s="17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  <c r="AL729" s="15"/>
      <c r="AM729" s="15"/>
      <c r="AN729" s="15"/>
      <c r="AO729" s="15"/>
      <c r="AP729" s="15"/>
      <c r="AQ729" s="15"/>
      <c r="AR729" s="15"/>
      <c r="AS729" s="15"/>
      <c r="AT729" s="15"/>
      <c r="AU729" s="15"/>
      <c r="AV729" s="15"/>
      <c r="AW729" s="15"/>
      <c r="AX729" s="15"/>
      <c r="AY729" s="15"/>
      <c r="AZ729" s="15"/>
      <c r="BA729" s="15"/>
      <c r="BB729" s="15"/>
      <c r="BC729" s="15"/>
      <c r="BD729" s="15"/>
      <c r="BE729" s="15"/>
      <c r="BF729" s="15"/>
      <c r="BG729" s="15"/>
      <c r="BH729" s="15"/>
      <c r="BI729" s="15"/>
    </row>
    <row r="730" spans="1:61" ht="15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7"/>
      <c r="O730" s="17"/>
      <c r="P730" s="15"/>
      <c r="Q730" s="15"/>
      <c r="R730" s="15"/>
      <c r="S730" s="15"/>
      <c r="T730" s="15"/>
      <c r="U730" s="15"/>
      <c r="V730" s="17"/>
      <c r="W730" s="17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  <c r="AL730" s="15"/>
      <c r="AM730" s="15"/>
      <c r="AN730" s="15"/>
      <c r="AO730" s="15"/>
      <c r="AP730" s="15"/>
      <c r="AQ730" s="15"/>
      <c r="AR730" s="15"/>
      <c r="AS730" s="15"/>
      <c r="AT730" s="15"/>
      <c r="AU730" s="15"/>
      <c r="AV730" s="15"/>
      <c r="AW730" s="15"/>
      <c r="AX730" s="15"/>
      <c r="AY730" s="15"/>
      <c r="AZ730" s="15"/>
      <c r="BA730" s="15"/>
      <c r="BB730" s="15"/>
      <c r="BC730" s="15"/>
      <c r="BD730" s="15"/>
      <c r="BE730" s="15"/>
      <c r="BF730" s="15"/>
      <c r="BG730" s="15"/>
      <c r="BH730" s="15"/>
      <c r="BI730" s="15"/>
    </row>
    <row r="731" spans="1:61" ht="15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7"/>
      <c r="O731" s="17"/>
      <c r="P731" s="15"/>
      <c r="Q731" s="15"/>
      <c r="R731" s="15"/>
      <c r="S731" s="15"/>
      <c r="T731" s="15"/>
      <c r="U731" s="15"/>
      <c r="V731" s="17"/>
      <c r="W731" s="17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  <c r="AL731" s="15"/>
      <c r="AM731" s="15"/>
      <c r="AN731" s="15"/>
      <c r="AO731" s="15"/>
      <c r="AP731" s="15"/>
      <c r="AQ731" s="15"/>
      <c r="AR731" s="15"/>
      <c r="AS731" s="15"/>
      <c r="AT731" s="15"/>
      <c r="AU731" s="15"/>
      <c r="AV731" s="15"/>
      <c r="AW731" s="15"/>
      <c r="AX731" s="15"/>
      <c r="AY731" s="15"/>
      <c r="AZ731" s="15"/>
      <c r="BA731" s="15"/>
      <c r="BB731" s="15"/>
      <c r="BC731" s="15"/>
      <c r="BD731" s="15"/>
      <c r="BE731" s="15"/>
      <c r="BF731" s="15"/>
      <c r="BG731" s="15"/>
      <c r="BH731" s="15"/>
      <c r="BI731" s="15"/>
    </row>
    <row r="732" spans="1:61" ht="15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7"/>
      <c r="O732" s="17"/>
      <c r="P732" s="15"/>
      <c r="Q732" s="15"/>
      <c r="R732" s="15"/>
      <c r="S732" s="15"/>
      <c r="T732" s="15"/>
      <c r="U732" s="15"/>
      <c r="V732" s="17"/>
      <c r="W732" s="17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  <c r="AL732" s="15"/>
      <c r="AM732" s="15"/>
      <c r="AN732" s="15"/>
      <c r="AO732" s="15"/>
      <c r="AP732" s="15"/>
      <c r="AQ732" s="15"/>
      <c r="AR732" s="15"/>
      <c r="AS732" s="15"/>
      <c r="AT732" s="15"/>
      <c r="AU732" s="15"/>
      <c r="AV732" s="15"/>
      <c r="AW732" s="15"/>
      <c r="AX732" s="15"/>
      <c r="AY732" s="15"/>
      <c r="AZ732" s="15"/>
      <c r="BA732" s="15"/>
      <c r="BB732" s="15"/>
      <c r="BC732" s="15"/>
      <c r="BD732" s="15"/>
      <c r="BE732" s="15"/>
      <c r="BF732" s="15"/>
      <c r="BG732" s="15"/>
      <c r="BH732" s="15"/>
      <c r="BI732" s="15"/>
    </row>
    <row r="733" spans="1:61" ht="15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7"/>
      <c r="O733" s="17"/>
      <c r="P733" s="15"/>
      <c r="Q733" s="15"/>
      <c r="R733" s="15"/>
      <c r="S733" s="15"/>
      <c r="T733" s="15"/>
      <c r="U733" s="15"/>
      <c r="V733" s="17"/>
      <c r="W733" s="17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  <c r="AL733" s="15"/>
      <c r="AM733" s="15"/>
      <c r="AN733" s="15"/>
      <c r="AO733" s="15"/>
      <c r="AP733" s="15"/>
      <c r="AQ733" s="15"/>
      <c r="AR733" s="15"/>
      <c r="AS733" s="15"/>
      <c r="AT733" s="15"/>
      <c r="AU733" s="15"/>
      <c r="AV733" s="15"/>
      <c r="AW733" s="15"/>
      <c r="AX733" s="15"/>
      <c r="AY733" s="15"/>
      <c r="AZ733" s="15"/>
      <c r="BA733" s="15"/>
      <c r="BB733" s="15"/>
      <c r="BC733" s="15"/>
      <c r="BD733" s="15"/>
      <c r="BE733" s="15"/>
      <c r="BF733" s="15"/>
      <c r="BG733" s="15"/>
      <c r="BH733" s="15"/>
      <c r="BI733" s="15"/>
    </row>
    <row r="734" spans="1:61" ht="15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7"/>
      <c r="O734" s="17"/>
      <c r="P734" s="15"/>
      <c r="Q734" s="15"/>
      <c r="R734" s="15"/>
      <c r="S734" s="15"/>
      <c r="T734" s="15"/>
      <c r="U734" s="15"/>
      <c r="V734" s="17"/>
      <c r="W734" s="17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  <c r="AL734" s="15"/>
      <c r="AM734" s="15"/>
      <c r="AN734" s="15"/>
      <c r="AO734" s="15"/>
      <c r="AP734" s="15"/>
      <c r="AQ734" s="15"/>
      <c r="AR734" s="15"/>
      <c r="AS734" s="15"/>
      <c r="AT734" s="15"/>
      <c r="AU734" s="15"/>
      <c r="AV734" s="15"/>
      <c r="AW734" s="15"/>
      <c r="AX734" s="15"/>
      <c r="AY734" s="15"/>
      <c r="AZ734" s="15"/>
      <c r="BA734" s="15"/>
      <c r="BB734" s="15"/>
      <c r="BC734" s="15"/>
      <c r="BD734" s="15"/>
      <c r="BE734" s="15"/>
      <c r="BF734" s="15"/>
      <c r="BG734" s="15"/>
      <c r="BH734" s="15"/>
      <c r="BI734" s="15"/>
    </row>
    <row r="735" spans="1:61" ht="15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7"/>
      <c r="O735" s="17"/>
      <c r="P735" s="15"/>
      <c r="Q735" s="15"/>
      <c r="R735" s="15"/>
      <c r="S735" s="15"/>
      <c r="T735" s="15"/>
      <c r="U735" s="15"/>
      <c r="V735" s="17"/>
      <c r="W735" s="17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  <c r="AL735" s="15"/>
      <c r="AM735" s="15"/>
      <c r="AN735" s="15"/>
      <c r="AO735" s="15"/>
      <c r="AP735" s="15"/>
      <c r="AQ735" s="15"/>
      <c r="AR735" s="15"/>
      <c r="AS735" s="15"/>
      <c r="AT735" s="15"/>
      <c r="AU735" s="15"/>
      <c r="AV735" s="15"/>
      <c r="AW735" s="15"/>
      <c r="AX735" s="15"/>
      <c r="AY735" s="15"/>
      <c r="AZ735" s="15"/>
      <c r="BA735" s="15"/>
      <c r="BB735" s="15"/>
      <c r="BC735" s="15"/>
      <c r="BD735" s="15"/>
      <c r="BE735" s="15"/>
      <c r="BF735" s="15"/>
      <c r="BG735" s="15"/>
      <c r="BH735" s="15"/>
      <c r="BI735" s="15"/>
    </row>
    <row r="736" spans="1:61" ht="15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7"/>
      <c r="O736" s="17"/>
      <c r="P736" s="15"/>
      <c r="Q736" s="15"/>
      <c r="R736" s="15"/>
      <c r="S736" s="15"/>
      <c r="T736" s="15"/>
      <c r="U736" s="15"/>
      <c r="V736" s="17"/>
      <c r="W736" s="17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  <c r="AL736" s="15"/>
      <c r="AM736" s="15"/>
      <c r="AN736" s="15"/>
      <c r="AO736" s="15"/>
      <c r="AP736" s="15"/>
      <c r="AQ736" s="15"/>
      <c r="AR736" s="15"/>
      <c r="AS736" s="15"/>
      <c r="AT736" s="15"/>
      <c r="AU736" s="15"/>
      <c r="AV736" s="15"/>
      <c r="AW736" s="15"/>
      <c r="AX736" s="15"/>
      <c r="AY736" s="15"/>
      <c r="AZ736" s="15"/>
      <c r="BA736" s="15"/>
      <c r="BB736" s="15"/>
      <c r="BC736" s="15"/>
      <c r="BD736" s="15"/>
      <c r="BE736" s="15"/>
      <c r="BF736" s="15"/>
      <c r="BG736" s="15"/>
      <c r="BH736" s="15"/>
      <c r="BI736" s="15"/>
    </row>
    <row r="737" spans="1:61" ht="15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7"/>
      <c r="O737" s="17"/>
      <c r="P737" s="15"/>
      <c r="Q737" s="15"/>
      <c r="R737" s="15"/>
      <c r="S737" s="15"/>
      <c r="T737" s="15"/>
      <c r="U737" s="15"/>
      <c r="V737" s="17"/>
      <c r="W737" s="17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  <c r="AL737" s="15"/>
      <c r="AM737" s="15"/>
      <c r="AN737" s="15"/>
      <c r="AO737" s="15"/>
      <c r="AP737" s="15"/>
      <c r="AQ737" s="15"/>
      <c r="AR737" s="15"/>
      <c r="AS737" s="15"/>
      <c r="AT737" s="15"/>
      <c r="AU737" s="15"/>
      <c r="AV737" s="15"/>
      <c r="AW737" s="15"/>
      <c r="AX737" s="15"/>
      <c r="AY737" s="15"/>
      <c r="AZ737" s="15"/>
      <c r="BA737" s="15"/>
      <c r="BB737" s="15"/>
      <c r="BC737" s="15"/>
      <c r="BD737" s="15"/>
      <c r="BE737" s="15"/>
      <c r="BF737" s="15"/>
      <c r="BG737" s="15"/>
      <c r="BH737" s="15"/>
      <c r="BI737" s="15"/>
    </row>
    <row r="738" spans="1:61" ht="15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7"/>
      <c r="O738" s="17"/>
      <c r="P738" s="15"/>
      <c r="Q738" s="15"/>
      <c r="R738" s="15"/>
      <c r="S738" s="15"/>
      <c r="T738" s="15"/>
      <c r="U738" s="15"/>
      <c r="V738" s="17"/>
      <c r="W738" s="17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  <c r="AL738" s="15"/>
      <c r="AM738" s="15"/>
      <c r="AN738" s="15"/>
      <c r="AO738" s="15"/>
      <c r="AP738" s="15"/>
      <c r="AQ738" s="15"/>
      <c r="AR738" s="15"/>
      <c r="AS738" s="15"/>
      <c r="AT738" s="15"/>
      <c r="AU738" s="15"/>
      <c r="AV738" s="15"/>
      <c r="AW738" s="15"/>
      <c r="AX738" s="15"/>
      <c r="AY738" s="15"/>
      <c r="AZ738" s="15"/>
      <c r="BA738" s="15"/>
      <c r="BB738" s="15"/>
      <c r="BC738" s="15"/>
      <c r="BD738" s="15"/>
      <c r="BE738" s="15"/>
      <c r="BF738" s="15"/>
      <c r="BG738" s="15"/>
      <c r="BH738" s="15"/>
      <c r="BI738" s="15"/>
    </row>
    <row r="739" spans="1:61" ht="15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7"/>
      <c r="O739" s="17"/>
      <c r="P739" s="15"/>
      <c r="Q739" s="15"/>
      <c r="R739" s="15"/>
      <c r="S739" s="15"/>
      <c r="T739" s="15"/>
      <c r="U739" s="15"/>
      <c r="V739" s="17"/>
      <c r="W739" s="17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  <c r="AL739" s="15"/>
      <c r="AM739" s="15"/>
      <c r="AN739" s="15"/>
      <c r="AO739" s="15"/>
      <c r="AP739" s="15"/>
      <c r="AQ739" s="15"/>
      <c r="AR739" s="15"/>
      <c r="AS739" s="15"/>
      <c r="AT739" s="15"/>
      <c r="AU739" s="15"/>
      <c r="AV739" s="15"/>
      <c r="AW739" s="15"/>
      <c r="AX739" s="15"/>
      <c r="AY739" s="15"/>
      <c r="AZ739" s="15"/>
      <c r="BA739" s="15"/>
      <c r="BB739" s="15"/>
      <c r="BC739" s="15"/>
      <c r="BD739" s="15"/>
      <c r="BE739" s="15"/>
      <c r="BF739" s="15"/>
      <c r="BG739" s="15"/>
      <c r="BH739" s="15"/>
      <c r="BI739" s="15"/>
    </row>
    <row r="740" spans="1:61" ht="15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7"/>
      <c r="O740" s="17"/>
      <c r="P740" s="15"/>
      <c r="Q740" s="15"/>
      <c r="R740" s="15"/>
      <c r="S740" s="15"/>
      <c r="T740" s="15"/>
      <c r="U740" s="15"/>
      <c r="V740" s="17"/>
      <c r="W740" s="17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  <c r="AL740" s="15"/>
      <c r="AM740" s="15"/>
      <c r="AN740" s="15"/>
      <c r="AO740" s="15"/>
      <c r="AP740" s="15"/>
      <c r="AQ740" s="15"/>
      <c r="AR740" s="15"/>
      <c r="AS740" s="15"/>
      <c r="AT740" s="15"/>
      <c r="AU740" s="15"/>
      <c r="AV740" s="15"/>
      <c r="AW740" s="15"/>
      <c r="AX740" s="15"/>
      <c r="AY740" s="15"/>
      <c r="AZ740" s="15"/>
      <c r="BA740" s="15"/>
      <c r="BB740" s="15"/>
      <c r="BC740" s="15"/>
      <c r="BD740" s="15"/>
      <c r="BE740" s="15"/>
      <c r="BF740" s="15"/>
      <c r="BG740" s="15"/>
      <c r="BH740" s="15"/>
      <c r="BI740" s="15"/>
    </row>
    <row r="741" spans="1:61" ht="15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7"/>
      <c r="O741" s="17"/>
      <c r="P741" s="15"/>
      <c r="Q741" s="15"/>
      <c r="R741" s="15"/>
      <c r="S741" s="15"/>
      <c r="T741" s="15"/>
      <c r="U741" s="15"/>
      <c r="V741" s="17"/>
      <c r="W741" s="17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  <c r="AL741" s="15"/>
      <c r="AM741" s="15"/>
      <c r="AN741" s="15"/>
      <c r="AO741" s="15"/>
      <c r="AP741" s="15"/>
      <c r="AQ741" s="15"/>
      <c r="AR741" s="15"/>
      <c r="AS741" s="15"/>
      <c r="AT741" s="15"/>
      <c r="AU741" s="15"/>
      <c r="AV741" s="15"/>
      <c r="AW741" s="15"/>
      <c r="AX741" s="15"/>
      <c r="AY741" s="15"/>
      <c r="AZ741" s="15"/>
      <c r="BA741" s="15"/>
      <c r="BB741" s="15"/>
      <c r="BC741" s="15"/>
      <c r="BD741" s="15"/>
      <c r="BE741" s="15"/>
      <c r="BF741" s="15"/>
      <c r="BG741" s="15"/>
      <c r="BH741" s="15"/>
      <c r="BI741" s="15"/>
    </row>
    <row r="742" spans="1:61" ht="15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7"/>
      <c r="O742" s="17"/>
      <c r="P742" s="15"/>
      <c r="Q742" s="15"/>
      <c r="R742" s="15"/>
      <c r="S742" s="15"/>
      <c r="T742" s="15"/>
      <c r="U742" s="15"/>
      <c r="V742" s="17"/>
      <c r="W742" s="17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  <c r="AL742" s="15"/>
      <c r="AM742" s="15"/>
      <c r="AN742" s="15"/>
      <c r="AO742" s="15"/>
      <c r="AP742" s="15"/>
      <c r="AQ742" s="15"/>
      <c r="AR742" s="15"/>
      <c r="AS742" s="15"/>
      <c r="AT742" s="15"/>
      <c r="AU742" s="15"/>
      <c r="AV742" s="15"/>
      <c r="AW742" s="15"/>
      <c r="AX742" s="15"/>
      <c r="AY742" s="15"/>
      <c r="AZ742" s="15"/>
      <c r="BA742" s="15"/>
      <c r="BB742" s="15"/>
      <c r="BC742" s="15"/>
      <c r="BD742" s="15"/>
      <c r="BE742" s="15"/>
      <c r="BF742" s="15"/>
      <c r="BG742" s="15"/>
      <c r="BH742" s="15"/>
      <c r="BI742" s="15"/>
    </row>
    <row r="743" spans="1:61" ht="15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7"/>
      <c r="O743" s="17"/>
      <c r="P743" s="15"/>
      <c r="Q743" s="15"/>
      <c r="R743" s="15"/>
      <c r="S743" s="15"/>
      <c r="T743" s="15"/>
      <c r="U743" s="15"/>
      <c r="V743" s="17"/>
      <c r="W743" s="17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  <c r="AL743" s="15"/>
      <c r="AM743" s="15"/>
      <c r="AN743" s="15"/>
      <c r="AO743" s="15"/>
      <c r="AP743" s="15"/>
      <c r="AQ743" s="15"/>
      <c r="AR743" s="15"/>
      <c r="AS743" s="15"/>
      <c r="AT743" s="15"/>
      <c r="AU743" s="15"/>
      <c r="AV743" s="15"/>
      <c r="AW743" s="15"/>
      <c r="AX743" s="15"/>
      <c r="AY743" s="15"/>
      <c r="AZ743" s="15"/>
      <c r="BA743" s="15"/>
      <c r="BB743" s="15"/>
      <c r="BC743" s="15"/>
      <c r="BD743" s="15"/>
      <c r="BE743" s="15"/>
      <c r="BF743" s="15"/>
      <c r="BG743" s="15"/>
      <c r="BH743" s="15"/>
      <c r="BI743" s="15"/>
    </row>
    <row r="744" spans="1:61" ht="15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7"/>
      <c r="O744" s="17"/>
      <c r="P744" s="15"/>
      <c r="Q744" s="15"/>
      <c r="R744" s="15"/>
      <c r="S744" s="15"/>
      <c r="T744" s="15"/>
      <c r="U744" s="15"/>
      <c r="V744" s="17"/>
      <c r="W744" s="17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  <c r="AL744" s="15"/>
      <c r="AM744" s="15"/>
      <c r="AN744" s="15"/>
      <c r="AO744" s="15"/>
      <c r="AP744" s="15"/>
      <c r="AQ744" s="15"/>
      <c r="AR744" s="15"/>
      <c r="AS744" s="15"/>
      <c r="AT744" s="15"/>
      <c r="AU744" s="15"/>
      <c r="AV744" s="15"/>
      <c r="AW744" s="15"/>
      <c r="AX744" s="15"/>
      <c r="AY744" s="15"/>
      <c r="AZ744" s="15"/>
      <c r="BA744" s="15"/>
      <c r="BB744" s="15"/>
      <c r="BC744" s="15"/>
      <c r="BD744" s="15"/>
      <c r="BE744" s="15"/>
      <c r="BF744" s="15"/>
      <c r="BG744" s="15"/>
      <c r="BH744" s="15"/>
      <c r="BI744" s="15"/>
    </row>
    <row r="745" spans="1:61" ht="15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7"/>
      <c r="O745" s="17"/>
      <c r="P745" s="15"/>
      <c r="Q745" s="15"/>
      <c r="R745" s="15"/>
      <c r="S745" s="15"/>
      <c r="T745" s="15"/>
      <c r="U745" s="15"/>
      <c r="V745" s="17"/>
      <c r="W745" s="17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  <c r="AL745" s="15"/>
      <c r="AM745" s="15"/>
      <c r="AN745" s="15"/>
      <c r="AO745" s="15"/>
      <c r="AP745" s="15"/>
      <c r="AQ745" s="15"/>
      <c r="AR745" s="15"/>
      <c r="AS745" s="15"/>
      <c r="AT745" s="15"/>
      <c r="AU745" s="15"/>
      <c r="AV745" s="15"/>
      <c r="AW745" s="15"/>
      <c r="AX745" s="15"/>
      <c r="AY745" s="15"/>
      <c r="AZ745" s="15"/>
      <c r="BA745" s="15"/>
      <c r="BB745" s="15"/>
      <c r="BC745" s="15"/>
      <c r="BD745" s="15"/>
      <c r="BE745" s="15"/>
      <c r="BF745" s="15"/>
      <c r="BG745" s="15"/>
      <c r="BH745" s="15"/>
      <c r="BI745" s="15"/>
    </row>
    <row r="746" spans="1:61" ht="15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7"/>
      <c r="O746" s="17"/>
      <c r="P746" s="15"/>
      <c r="Q746" s="15"/>
      <c r="R746" s="15"/>
      <c r="S746" s="15"/>
      <c r="T746" s="15"/>
      <c r="U746" s="15"/>
      <c r="V746" s="17"/>
      <c r="W746" s="17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  <c r="AL746" s="15"/>
      <c r="AM746" s="15"/>
      <c r="AN746" s="15"/>
      <c r="AO746" s="15"/>
      <c r="AP746" s="15"/>
      <c r="AQ746" s="15"/>
      <c r="AR746" s="15"/>
      <c r="AS746" s="15"/>
      <c r="AT746" s="15"/>
      <c r="AU746" s="15"/>
      <c r="AV746" s="15"/>
      <c r="AW746" s="15"/>
      <c r="AX746" s="15"/>
      <c r="AY746" s="15"/>
      <c r="AZ746" s="15"/>
      <c r="BA746" s="15"/>
      <c r="BB746" s="15"/>
      <c r="BC746" s="15"/>
      <c r="BD746" s="15"/>
      <c r="BE746" s="15"/>
      <c r="BF746" s="15"/>
      <c r="BG746" s="15"/>
      <c r="BH746" s="15"/>
      <c r="BI746" s="15"/>
    </row>
    <row r="747" spans="1:61" ht="15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7"/>
      <c r="O747" s="17"/>
      <c r="P747" s="15"/>
      <c r="Q747" s="15"/>
      <c r="R747" s="15"/>
      <c r="S747" s="15"/>
      <c r="T747" s="15"/>
      <c r="U747" s="15"/>
      <c r="V747" s="17"/>
      <c r="W747" s="17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  <c r="AL747" s="15"/>
      <c r="AM747" s="15"/>
      <c r="AN747" s="15"/>
      <c r="AO747" s="15"/>
      <c r="AP747" s="15"/>
      <c r="AQ747" s="15"/>
      <c r="AR747" s="15"/>
      <c r="AS747" s="15"/>
      <c r="AT747" s="15"/>
      <c r="AU747" s="15"/>
      <c r="AV747" s="15"/>
      <c r="AW747" s="15"/>
      <c r="AX747" s="15"/>
      <c r="AY747" s="15"/>
      <c r="AZ747" s="15"/>
      <c r="BA747" s="15"/>
      <c r="BB747" s="15"/>
      <c r="BC747" s="15"/>
      <c r="BD747" s="15"/>
      <c r="BE747" s="15"/>
      <c r="BF747" s="15"/>
      <c r="BG747" s="15"/>
      <c r="BH747" s="15"/>
      <c r="BI747" s="15"/>
    </row>
    <row r="748" spans="1:61" ht="15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7"/>
      <c r="O748" s="17"/>
      <c r="P748" s="15"/>
      <c r="Q748" s="15"/>
      <c r="R748" s="15"/>
      <c r="S748" s="15"/>
      <c r="T748" s="15"/>
      <c r="U748" s="15"/>
      <c r="V748" s="17"/>
      <c r="W748" s="17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  <c r="AL748" s="15"/>
      <c r="AM748" s="15"/>
      <c r="AN748" s="15"/>
      <c r="AO748" s="15"/>
      <c r="AP748" s="15"/>
      <c r="AQ748" s="15"/>
      <c r="AR748" s="15"/>
      <c r="AS748" s="15"/>
      <c r="AT748" s="15"/>
      <c r="AU748" s="15"/>
      <c r="AV748" s="15"/>
      <c r="AW748" s="15"/>
      <c r="AX748" s="15"/>
      <c r="AY748" s="15"/>
      <c r="AZ748" s="15"/>
      <c r="BA748" s="15"/>
      <c r="BB748" s="15"/>
      <c r="BC748" s="15"/>
      <c r="BD748" s="15"/>
      <c r="BE748" s="15"/>
      <c r="BF748" s="15"/>
      <c r="BG748" s="15"/>
      <c r="BH748" s="15"/>
      <c r="BI748" s="15"/>
    </row>
    <row r="749" spans="1:61" ht="15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7"/>
      <c r="O749" s="17"/>
      <c r="P749" s="15"/>
      <c r="Q749" s="15"/>
      <c r="R749" s="15"/>
      <c r="S749" s="15"/>
      <c r="T749" s="15"/>
      <c r="U749" s="15"/>
      <c r="V749" s="17"/>
      <c r="W749" s="17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  <c r="AM749" s="15"/>
      <c r="AN749" s="15"/>
      <c r="AO749" s="15"/>
      <c r="AP749" s="15"/>
      <c r="AQ749" s="15"/>
      <c r="AR749" s="15"/>
      <c r="AS749" s="15"/>
      <c r="AT749" s="15"/>
      <c r="AU749" s="15"/>
      <c r="AV749" s="15"/>
      <c r="AW749" s="15"/>
      <c r="AX749" s="15"/>
      <c r="AY749" s="15"/>
      <c r="AZ749" s="15"/>
      <c r="BA749" s="15"/>
      <c r="BB749" s="15"/>
      <c r="BC749" s="15"/>
      <c r="BD749" s="15"/>
      <c r="BE749" s="15"/>
      <c r="BF749" s="15"/>
      <c r="BG749" s="15"/>
      <c r="BH749" s="15"/>
      <c r="BI749" s="15"/>
    </row>
    <row r="750" spans="1:61" ht="15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7"/>
      <c r="O750" s="17"/>
      <c r="P750" s="15"/>
      <c r="Q750" s="15"/>
      <c r="R750" s="15"/>
      <c r="S750" s="15"/>
      <c r="T750" s="15"/>
      <c r="U750" s="15"/>
      <c r="V750" s="17"/>
      <c r="W750" s="17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  <c r="AL750" s="15"/>
      <c r="AM750" s="15"/>
      <c r="AN750" s="15"/>
      <c r="AO750" s="15"/>
      <c r="AP750" s="15"/>
      <c r="AQ750" s="15"/>
      <c r="AR750" s="15"/>
      <c r="AS750" s="15"/>
      <c r="AT750" s="15"/>
      <c r="AU750" s="15"/>
      <c r="AV750" s="15"/>
      <c r="AW750" s="15"/>
      <c r="AX750" s="15"/>
      <c r="AY750" s="15"/>
      <c r="AZ750" s="15"/>
      <c r="BA750" s="15"/>
      <c r="BB750" s="15"/>
      <c r="BC750" s="15"/>
      <c r="BD750" s="15"/>
      <c r="BE750" s="15"/>
      <c r="BF750" s="15"/>
      <c r="BG750" s="15"/>
      <c r="BH750" s="15"/>
      <c r="BI750" s="15"/>
    </row>
    <row r="751" spans="1:61" ht="15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7"/>
      <c r="O751" s="17"/>
      <c r="P751" s="15"/>
      <c r="Q751" s="15"/>
      <c r="R751" s="15"/>
      <c r="S751" s="15"/>
      <c r="T751" s="15"/>
      <c r="U751" s="15"/>
      <c r="V751" s="17"/>
      <c r="W751" s="17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  <c r="AL751" s="15"/>
      <c r="AM751" s="15"/>
      <c r="AN751" s="15"/>
      <c r="AO751" s="15"/>
      <c r="AP751" s="15"/>
      <c r="AQ751" s="15"/>
      <c r="AR751" s="15"/>
      <c r="AS751" s="15"/>
      <c r="AT751" s="15"/>
      <c r="AU751" s="15"/>
      <c r="AV751" s="15"/>
      <c r="AW751" s="15"/>
      <c r="AX751" s="15"/>
      <c r="AY751" s="15"/>
      <c r="AZ751" s="15"/>
      <c r="BA751" s="15"/>
      <c r="BB751" s="15"/>
      <c r="BC751" s="15"/>
      <c r="BD751" s="15"/>
      <c r="BE751" s="15"/>
      <c r="BF751" s="15"/>
      <c r="BG751" s="15"/>
      <c r="BH751" s="15"/>
      <c r="BI751" s="15"/>
    </row>
    <row r="752" spans="1:61" ht="15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7"/>
      <c r="O752" s="17"/>
      <c r="P752" s="15"/>
      <c r="Q752" s="15"/>
      <c r="R752" s="15"/>
      <c r="S752" s="15"/>
      <c r="T752" s="15"/>
      <c r="U752" s="15"/>
      <c r="V752" s="17"/>
      <c r="W752" s="17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/>
      <c r="AM752" s="15"/>
      <c r="AN752" s="15"/>
      <c r="AO752" s="15"/>
      <c r="AP752" s="15"/>
      <c r="AQ752" s="15"/>
      <c r="AR752" s="15"/>
      <c r="AS752" s="15"/>
      <c r="AT752" s="15"/>
      <c r="AU752" s="15"/>
      <c r="AV752" s="15"/>
      <c r="AW752" s="15"/>
      <c r="AX752" s="15"/>
      <c r="AY752" s="15"/>
      <c r="AZ752" s="15"/>
      <c r="BA752" s="15"/>
      <c r="BB752" s="15"/>
      <c r="BC752" s="15"/>
      <c r="BD752" s="15"/>
      <c r="BE752" s="15"/>
      <c r="BF752" s="15"/>
      <c r="BG752" s="15"/>
      <c r="BH752" s="15"/>
      <c r="BI752" s="15"/>
    </row>
    <row r="753" spans="1:61" ht="15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7"/>
      <c r="O753" s="17"/>
      <c r="P753" s="15"/>
      <c r="Q753" s="15"/>
      <c r="R753" s="15"/>
      <c r="S753" s="15"/>
      <c r="T753" s="15"/>
      <c r="U753" s="15"/>
      <c r="V753" s="17"/>
      <c r="W753" s="17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/>
      <c r="AM753" s="15"/>
      <c r="AN753" s="15"/>
      <c r="AO753" s="15"/>
      <c r="AP753" s="15"/>
      <c r="AQ753" s="15"/>
      <c r="AR753" s="15"/>
      <c r="AS753" s="15"/>
      <c r="AT753" s="15"/>
      <c r="AU753" s="15"/>
      <c r="AV753" s="15"/>
      <c r="AW753" s="15"/>
      <c r="AX753" s="15"/>
      <c r="AY753" s="15"/>
      <c r="AZ753" s="15"/>
      <c r="BA753" s="15"/>
      <c r="BB753" s="15"/>
      <c r="BC753" s="15"/>
      <c r="BD753" s="15"/>
      <c r="BE753" s="15"/>
      <c r="BF753" s="15"/>
      <c r="BG753" s="15"/>
      <c r="BH753" s="15"/>
      <c r="BI753" s="15"/>
    </row>
    <row r="754" spans="1:61" ht="15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7"/>
      <c r="O754" s="17"/>
      <c r="P754" s="15"/>
      <c r="Q754" s="15"/>
      <c r="R754" s="15"/>
      <c r="S754" s="15"/>
      <c r="T754" s="15"/>
      <c r="U754" s="15"/>
      <c r="V754" s="17"/>
      <c r="W754" s="17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  <c r="AL754" s="15"/>
      <c r="AM754" s="15"/>
      <c r="AN754" s="15"/>
      <c r="AO754" s="15"/>
      <c r="AP754" s="15"/>
      <c r="AQ754" s="15"/>
      <c r="AR754" s="15"/>
      <c r="AS754" s="15"/>
      <c r="AT754" s="15"/>
      <c r="AU754" s="15"/>
      <c r="AV754" s="15"/>
      <c r="AW754" s="15"/>
      <c r="AX754" s="15"/>
      <c r="AY754" s="15"/>
      <c r="AZ754" s="15"/>
      <c r="BA754" s="15"/>
      <c r="BB754" s="15"/>
      <c r="BC754" s="15"/>
      <c r="BD754" s="15"/>
      <c r="BE754" s="15"/>
      <c r="BF754" s="15"/>
      <c r="BG754" s="15"/>
      <c r="BH754" s="15"/>
      <c r="BI754" s="15"/>
    </row>
    <row r="755" spans="1:61" ht="15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7"/>
      <c r="O755" s="17"/>
      <c r="P755" s="15"/>
      <c r="Q755" s="15"/>
      <c r="R755" s="15"/>
      <c r="S755" s="15"/>
      <c r="T755" s="15"/>
      <c r="U755" s="15"/>
      <c r="V755" s="17"/>
      <c r="W755" s="17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  <c r="AL755" s="15"/>
      <c r="AM755" s="15"/>
      <c r="AN755" s="15"/>
      <c r="AO755" s="15"/>
      <c r="AP755" s="15"/>
      <c r="AQ755" s="15"/>
      <c r="AR755" s="15"/>
      <c r="AS755" s="15"/>
      <c r="AT755" s="15"/>
      <c r="AU755" s="15"/>
      <c r="AV755" s="15"/>
      <c r="AW755" s="15"/>
      <c r="AX755" s="15"/>
      <c r="AY755" s="15"/>
      <c r="AZ755" s="15"/>
      <c r="BA755" s="15"/>
      <c r="BB755" s="15"/>
      <c r="BC755" s="15"/>
      <c r="BD755" s="15"/>
      <c r="BE755" s="15"/>
      <c r="BF755" s="15"/>
      <c r="BG755" s="15"/>
      <c r="BH755" s="15"/>
      <c r="BI755" s="15"/>
    </row>
    <row r="756" spans="1:61" ht="15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7"/>
      <c r="O756" s="17"/>
      <c r="P756" s="15"/>
      <c r="Q756" s="15"/>
      <c r="R756" s="15"/>
      <c r="S756" s="15"/>
      <c r="T756" s="15"/>
      <c r="U756" s="15"/>
      <c r="V756" s="17"/>
      <c r="W756" s="17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  <c r="AL756" s="15"/>
      <c r="AM756" s="15"/>
      <c r="AN756" s="15"/>
      <c r="AO756" s="15"/>
      <c r="AP756" s="15"/>
      <c r="AQ756" s="15"/>
      <c r="AR756" s="15"/>
      <c r="AS756" s="15"/>
      <c r="AT756" s="15"/>
      <c r="AU756" s="15"/>
      <c r="AV756" s="15"/>
      <c r="AW756" s="15"/>
      <c r="AX756" s="15"/>
      <c r="AY756" s="15"/>
      <c r="AZ756" s="15"/>
      <c r="BA756" s="15"/>
      <c r="BB756" s="15"/>
      <c r="BC756" s="15"/>
      <c r="BD756" s="15"/>
      <c r="BE756" s="15"/>
      <c r="BF756" s="15"/>
      <c r="BG756" s="15"/>
      <c r="BH756" s="15"/>
      <c r="BI756" s="15"/>
    </row>
    <row r="757" spans="1:61" ht="15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7"/>
      <c r="O757" s="17"/>
      <c r="P757" s="15"/>
      <c r="Q757" s="15"/>
      <c r="R757" s="15"/>
      <c r="S757" s="15"/>
      <c r="T757" s="15"/>
      <c r="U757" s="15"/>
      <c r="V757" s="17"/>
      <c r="W757" s="17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  <c r="AL757" s="15"/>
      <c r="AM757" s="15"/>
      <c r="AN757" s="15"/>
      <c r="AO757" s="15"/>
      <c r="AP757" s="15"/>
      <c r="AQ757" s="15"/>
      <c r="AR757" s="15"/>
      <c r="AS757" s="15"/>
      <c r="AT757" s="15"/>
      <c r="AU757" s="15"/>
      <c r="AV757" s="15"/>
      <c r="AW757" s="15"/>
      <c r="AX757" s="15"/>
      <c r="AY757" s="15"/>
      <c r="AZ757" s="15"/>
      <c r="BA757" s="15"/>
      <c r="BB757" s="15"/>
      <c r="BC757" s="15"/>
      <c r="BD757" s="15"/>
      <c r="BE757" s="15"/>
      <c r="BF757" s="15"/>
      <c r="BG757" s="15"/>
      <c r="BH757" s="15"/>
      <c r="BI757" s="15"/>
    </row>
    <row r="758" spans="1:61" ht="15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7"/>
      <c r="O758" s="17"/>
      <c r="P758" s="15"/>
      <c r="Q758" s="15"/>
      <c r="R758" s="15"/>
      <c r="S758" s="15"/>
      <c r="T758" s="15"/>
      <c r="U758" s="15"/>
      <c r="V758" s="17"/>
      <c r="W758" s="17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L758" s="15"/>
      <c r="AM758" s="15"/>
      <c r="AN758" s="15"/>
      <c r="AO758" s="15"/>
      <c r="AP758" s="15"/>
      <c r="AQ758" s="15"/>
      <c r="AR758" s="15"/>
      <c r="AS758" s="15"/>
      <c r="AT758" s="15"/>
      <c r="AU758" s="15"/>
      <c r="AV758" s="15"/>
      <c r="AW758" s="15"/>
      <c r="AX758" s="15"/>
      <c r="AY758" s="15"/>
      <c r="AZ758" s="15"/>
      <c r="BA758" s="15"/>
      <c r="BB758" s="15"/>
      <c r="BC758" s="15"/>
      <c r="BD758" s="15"/>
      <c r="BE758" s="15"/>
      <c r="BF758" s="15"/>
      <c r="BG758" s="15"/>
      <c r="BH758" s="15"/>
      <c r="BI758" s="15"/>
    </row>
    <row r="759" spans="1:61" ht="15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7"/>
      <c r="O759" s="17"/>
      <c r="P759" s="15"/>
      <c r="Q759" s="15"/>
      <c r="R759" s="15"/>
      <c r="S759" s="15"/>
      <c r="T759" s="15"/>
      <c r="U759" s="15"/>
      <c r="V759" s="17"/>
      <c r="W759" s="17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  <c r="AL759" s="15"/>
      <c r="AM759" s="15"/>
      <c r="AN759" s="15"/>
      <c r="AO759" s="15"/>
      <c r="AP759" s="15"/>
      <c r="AQ759" s="15"/>
      <c r="AR759" s="15"/>
      <c r="AS759" s="15"/>
      <c r="AT759" s="15"/>
      <c r="AU759" s="15"/>
      <c r="AV759" s="15"/>
      <c r="AW759" s="15"/>
      <c r="AX759" s="15"/>
      <c r="AY759" s="15"/>
      <c r="AZ759" s="15"/>
      <c r="BA759" s="15"/>
      <c r="BB759" s="15"/>
      <c r="BC759" s="15"/>
      <c r="BD759" s="15"/>
      <c r="BE759" s="15"/>
      <c r="BF759" s="15"/>
      <c r="BG759" s="15"/>
      <c r="BH759" s="15"/>
      <c r="BI759" s="15"/>
    </row>
    <row r="760" spans="1:61" ht="15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7"/>
      <c r="O760" s="17"/>
      <c r="P760" s="15"/>
      <c r="Q760" s="15"/>
      <c r="R760" s="15"/>
      <c r="S760" s="15"/>
      <c r="T760" s="15"/>
      <c r="U760" s="15"/>
      <c r="V760" s="17"/>
      <c r="W760" s="17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  <c r="AL760" s="15"/>
      <c r="AM760" s="15"/>
      <c r="AN760" s="15"/>
      <c r="AO760" s="15"/>
      <c r="AP760" s="15"/>
      <c r="AQ760" s="15"/>
      <c r="AR760" s="15"/>
      <c r="AS760" s="15"/>
      <c r="AT760" s="15"/>
      <c r="AU760" s="15"/>
      <c r="AV760" s="15"/>
      <c r="AW760" s="15"/>
      <c r="AX760" s="15"/>
      <c r="AY760" s="15"/>
      <c r="AZ760" s="15"/>
      <c r="BA760" s="15"/>
      <c r="BB760" s="15"/>
      <c r="BC760" s="15"/>
      <c r="BD760" s="15"/>
      <c r="BE760" s="15"/>
      <c r="BF760" s="15"/>
      <c r="BG760" s="15"/>
      <c r="BH760" s="15"/>
      <c r="BI760" s="15"/>
    </row>
    <row r="761" spans="1:61" ht="15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7"/>
      <c r="O761" s="17"/>
      <c r="P761" s="15"/>
      <c r="Q761" s="15"/>
      <c r="R761" s="15"/>
      <c r="S761" s="15"/>
      <c r="T761" s="15"/>
      <c r="U761" s="15"/>
      <c r="V761" s="17"/>
      <c r="W761" s="17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  <c r="AL761" s="15"/>
      <c r="AM761" s="15"/>
      <c r="AN761" s="15"/>
      <c r="AO761" s="15"/>
      <c r="AP761" s="15"/>
      <c r="AQ761" s="15"/>
      <c r="AR761" s="15"/>
      <c r="AS761" s="15"/>
      <c r="AT761" s="15"/>
      <c r="AU761" s="15"/>
      <c r="AV761" s="15"/>
      <c r="AW761" s="15"/>
      <c r="AX761" s="15"/>
      <c r="AY761" s="15"/>
      <c r="AZ761" s="15"/>
      <c r="BA761" s="15"/>
      <c r="BB761" s="15"/>
      <c r="BC761" s="15"/>
      <c r="BD761" s="15"/>
      <c r="BE761" s="15"/>
      <c r="BF761" s="15"/>
      <c r="BG761" s="15"/>
      <c r="BH761" s="15"/>
      <c r="BI761" s="15"/>
    </row>
    <row r="762" spans="1:61" ht="15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7"/>
      <c r="O762" s="17"/>
      <c r="P762" s="15"/>
      <c r="Q762" s="15"/>
      <c r="R762" s="15"/>
      <c r="S762" s="15"/>
      <c r="T762" s="15"/>
      <c r="U762" s="15"/>
      <c r="V762" s="17"/>
      <c r="W762" s="17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  <c r="AL762" s="15"/>
      <c r="AM762" s="15"/>
      <c r="AN762" s="15"/>
      <c r="AO762" s="15"/>
      <c r="AP762" s="15"/>
      <c r="AQ762" s="15"/>
      <c r="AR762" s="15"/>
      <c r="AS762" s="15"/>
      <c r="AT762" s="15"/>
      <c r="AU762" s="15"/>
      <c r="AV762" s="15"/>
      <c r="AW762" s="15"/>
      <c r="AX762" s="15"/>
      <c r="AY762" s="15"/>
      <c r="AZ762" s="15"/>
      <c r="BA762" s="15"/>
      <c r="BB762" s="15"/>
      <c r="BC762" s="15"/>
      <c r="BD762" s="15"/>
      <c r="BE762" s="15"/>
      <c r="BF762" s="15"/>
      <c r="BG762" s="15"/>
      <c r="BH762" s="15"/>
      <c r="BI762" s="15"/>
    </row>
    <row r="763" spans="1:61" ht="15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7"/>
      <c r="O763" s="17"/>
      <c r="P763" s="15"/>
      <c r="Q763" s="15"/>
      <c r="R763" s="15"/>
      <c r="S763" s="15"/>
      <c r="T763" s="15"/>
      <c r="U763" s="15"/>
      <c r="V763" s="17"/>
      <c r="W763" s="17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  <c r="AL763" s="15"/>
      <c r="AM763" s="15"/>
      <c r="AN763" s="15"/>
      <c r="AO763" s="15"/>
      <c r="AP763" s="15"/>
      <c r="AQ763" s="15"/>
      <c r="AR763" s="15"/>
      <c r="AS763" s="15"/>
      <c r="AT763" s="15"/>
      <c r="AU763" s="15"/>
      <c r="AV763" s="15"/>
      <c r="AW763" s="15"/>
      <c r="AX763" s="15"/>
      <c r="AY763" s="15"/>
      <c r="AZ763" s="15"/>
      <c r="BA763" s="15"/>
      <c r="BB763" s="15"/>
      <c r="BC763" s="15"/>
      <c r="BD763" s="15"/>
      <c r="BE763" s="15"/>
      <c r="BF763" s="15"/>
      <c r="BG763" s="15"/>
      <c r="BH763" s="15"/>
      <c r="BI763" s="15"/>
    </row>
    <row r="764" spans="1:61" ht="15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7"/>
      <c r="O764" s="17"/>
      <c r="P764" s="15"/>
      <c r="Q764" s="15"/>
      <c r="R764" s="15"/>
      <c r="S764" s="15"/>
      <c r="T764" s="15"/>
      <c r="U764" s="15"/>
      <c r="V764" s="17"/>
      <c r="W764" s="17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  <c r="AL764" s="15"/>
      <c r="AM764" s="15"/>
      <c r="AN764" s="15"/>
      <c r="AO764" s="15"/>
      <c r="AP764" s="15"/>
      <c r="AQ764" s="15"/>
      <c r="AR764" s="15"/>
      <c r="AS764" s="15"/>
      <c r="AT764" s="15"/>
      <c r="AU764" s="15"/>
      <c r="AV764" s="15"/>
      <c r="AW764" s="15"/>
      <c r="AX764" s="15"/>
      <c r="AY764" s="15"/>
      <c r="AZ764" s="15"/>
      <c r="BA764" s="15"/>
      <c r="BB764" s="15"/>
      <c r="BC764" s="15"/>
      <c r="BD764" s="15"/>
      <c r="BE764" s="15"/>
      <c r="BF764" s="15"/>
      <c r="BG764" s="15"/>
      <c r="BH764" s="15"/>
      <c r="BI764" s="15"/>
    </row>
    <row r="765" spans="1:61" ht="15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7"/>
      <c r="O765" s="17"/>
      <c r="P765" s="15"/>
      <c r="Q765" s="15"/>
      <c r="R765" s="15"/>
      <c r="S765" s="15"/>
      <c r="T765" s="15"/>
      <c r="U765" s="15"/>
      <c r="V765" s="17"/>
      <c r="W765" s="17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  <c r="AL765" s="15"/>
      <c r="AM765" s="15"/>
      <c r="AN765" s="15"/>
      <c r="AO765" s="15"/>
      <c r="AP765" s="15"/>
      <c r="AQ765" s="15"/>
      <c r="AR765" s="15"/>
      <c r="AS765" s="15"/>
      <c r="AT765" s="15"/>
      <c r="AU765" s="15"/>
      <c r="AV765" s="15"/>
      <c r="AW765" s="15"/>
      <c r="AX765" s="15"/>
      <c r="AY765" s="15"/>
      <c r="AZ765" s="15"/>
      <c r="BA765" s="15"/>
      <c r="BB765" s="15"/>
      <c r="BC765" s="15"/>
      <c r="BD765" s="15"/>
      <c r="BE765" s="15"/>
      <c r="BF765" s="15"/>
      <c r="BG765" s="15"/>
      <c r="BH765" s="15"/>
      <c r="BI765" s="15"/>
    </row>
    <row r="766" spans="1:61" ht="15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7"/>
      <c r="O766" s="17"/>
      <c r="P766" s="15"/>
      <c r="Q766" s="15"/>
      <c r="R766" s="15"/>
      <c r="S766" s="15"/>
      <c r="T766" s="15"/>
      <c r="U766" s="15"/>
      <c r="V766" s="17"/>
      <c r="W766" s="17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  <c r="AL766" s="15"/>
      <c r="AM766" s="15"/>
      <c r="AN766" s="15"/>
      <c r="AO766" s="15"/>
      <c r="AP766" s="15"/>
      <c r="AQ766" s="15"/>
      <c r="AR766" s="15"/>
      <c r="AS766" s="15"/>
      <c r="AT766" s="15"/>
      <c r="AU766" s="15"/>
      <c r="AV766" s="15"/>
      <c r="AW766" s="15"/>
      <c r="AX766" s="15"/>
      <c r="AY766" s="15"/>
      <c r="AZ766" s="15"/>
      <c r="BA766" s="15"/>
      <c r="BB766" s="15"/>
      <c r="BC766" s="15"/>
      <c r="BD766" s="15"/>
      <c r="BE766" s="15"/>
      <c r="BF766" s="15"/>
      <c r="BG766" s="15"/>
      <c r="BH766" s="15"/>
      <c r="BI766" s="15"/>
    </row>
    <row r="767" spans="1:61" ht="15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7"/>
      <c r="O767" s="17"/>
      <c r="P767" s="15"/>
      <c r="Q767" s="15"/>
      <c r="R767" s="15"/>
      <c r="S767" s="15"/>
      <c r="T767" s="15"/>
      <c r="U767" s="15"/>
      <c r="V767" s="17"/>
      <c r="W767" s="17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  <c r="AL767" s="15"/>
      <c r="AM767" s="15"/>
      <c r="AN767" s="15"/>
      <c r="AO767" s="15"/>
      <c r="AP767" s="15"/>
      <c r="AQ767" s="15"/>
      <c r="AR767" s="15"/>
      <c r="AS767" s="15"/>
      <c r="AT767" s="15"/>
      <c r="AU767" s="15"/>
      <c r="AV767" s="15"/>
      <c r="AW767" s="15"/>
      <c r="AX767" s="15"/>
      <c r="AY767" s="15"/>
      <c r="AZ767" s="15"/>
      <c r="BA767" s="15"/>
      <c r="BB767" s="15"/>
      <c r="BC767" s="15"/>
      <c r="BD767" s="15"/>
      <c r="BE767" s="15"/>
      <c r="BF767" s="15"/>
      <c r="BG767" s="15"/>
      <c r="BH767" s="15"/>
      <c r="BI767" s="15"/>
    </row>
    <row r="768" spans="1:61" ht="15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7"/>
      <c r="O768" s="17"/>
      <c r="P768" s="15"/>
      <c r="Q768" s="15"/>
      <c r="R768" s="15"/>
      <c r="S768" s="15"/>
      <c r="T768" s="15"/>
      <c r="U768" s="15"/>
      <c r="V768" s="17"/>
      <c r="W768" s="17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  <c r="AL768" s="15"/>
      <c r="AM768" s="15"/>
      <c r="AN768" s="15"/>
      <c r="AO768" s="15"/>
      <c r="AP768" s="15"/>
      <c r="AQ768" s="15"/>
      <c r="AR768" s="15"/>
      <c r="AS768" s="15"/>
      <c r="AT768" s="15"/>
      <c r="AU768" s="15"/>
      <c r="AV768" s="15"/>
      <c r="AW768" s="15"/>
      <c r="AX768" s="15"/>
      <c r="AY768" s="15"/>
      <c r="AZ768" s="15"/>
      <c r="BA768" s="15"/>
      <c r="BB768" s="15"/>
      <c r="BC768" s="15"/>
      <c r="BD768" s="15"/>
      <c r="BE768" s="15"/>
      <c r="BF768" s="15"/>
      <c r="BG768" s="15"/>
      <c r="BH768" s="15"/>
      <c r="BI768" s="15"/>
    </row>
    <row r="769" spans="1:61" ht="15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7"/>
      <c r="O769" s="17"/>
      <c r="P769" s="15"/>
      <c r="Q769" s="15"/>
      <c r="R769" s="15"/>
      <c r="S769" s="15"/>
      <c r="T769" s="15"/>
      <c r="U769" s="15"/>
      <c r="V769" s="17"/>
      <c r="W769" s="17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/>
      <c r="AM769" s="15"/>
      <c r="AN769" s="15"/>
      <c r="AO769" s="15"/>
      <c r="AP769" s="15"/>
      <c r="AQ769" s="15"/>
      <c r="AR769" s="15"/>
      <c r="AS769" s="15"/>
      <c r="AT769" s="15"/>
      <c r="AU769" s="15"/>
      <c r="AV769" s="15"/>
      <c r="AW769" s="15"/>
      <c r="AX769" s="15"/>
      <c r="AY769" s="15"/>
      <c r="AZ769" s="15"/>
      <c r="BA769" s="15"/>
      <c r="BB769" s="15"/>
      <c r="BC769" s="15"/>
      <c r="BD769" s="15"/>
      <c r="BE769" s="15"/>
      <c r="BF769" s="15"/>
      <c r="BG769" s="15"/>
      <c r="BH769" s="15"/>
      <c r="BI769" s="15"/>
    </row>
    <row r="770" spans="1:61" ht="15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7"/>
      <c r="O770" s="17"/>
      <c r="P770" s="15"/>
      <c r="Q770" s="15"/>
      <c r="R770" s="15"/>
      <c r="S770" s="15"/>
      <c r="T770" s="15"/>
      <c r="U770" s="15"/>
      <c r="V770" s="17"/>
      <c r="W770" s="17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  <c r="AL770" s="15"/>
      <c r="AM770" s="15"/>
      <c r="AN770" s="15"/>
      <c r="AO770" s="15"/>
      <c r="AP770" s="15"/>
      <c r="AQ770" s="15"/>
      <c r="AR770" s="15"/>
      <c r="AS770" s="15"/>
      <c r="AT770" s="15"/>
      <c r="AU770" s="15"/>
      <c r="AV770" s="15"/>
      <c r="AW770" s="15"/>
      <c r="AX770" s="15"/>
      <c r="AY770" s="15"/>
      <c r="AZ770" s="15"/>
      <c r="BA770" s="15"/>
      <c r="BB770" s="15"/>
      <c r="BC770" s="15"/>
      <c r="BD770" s="15"/>
      <c r="BE770" s="15"/>
      <c r="BF770" s="15"/>
      <c r="BG770" s="15"/>
      <c r="BH770" s="15"/>
      <c r="BI770" s="15"/>
    </row>
    <row r="771" spans="1:61" ht="15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7"/>
      <c r="O771" s="17"/>
      <c r="P771" s="15"/>
      <c r="Q771" s="15"/>
      <c r="R771" s="15"/>
      <c r="S771" s="15"/>
      <c r="T771" s="15"/>
      <c r="U771" s="15"/>
      <c r="V771" s="17"/>
      <c r="W771" s="17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  <c r="AL771" s="15"/>
      <c r="AM771" s="15"/>
      <c r="AN771" s="15"/>
      <c r="AO771" s="15"/>
      <c r="AP771" s="15"/>
      <c r="AQ771" s="15"/>
      <c r="AR771" s="15"/>
      <c r="AS771" s="15"/>
      <c r="AT771" s="15"/>
      <c r="AU771" s="15"/>
      <c r="AV771" s="15"/>
      <c r="AW771" s="15"/>
      <c r="AX771" s="15"/>
      <c r="AY771" s="15"/>
      <c r="AZ771" s="15"/>
      <c r="BA771" s="15"/>
      <c r="BB771" s="15"/>
      <c r="BC771" s="15"/>
      <c r="BD771" s="15"/>
      <c r="BE771" s="15"/>
      <c r="BF771" s="15"/>
      <c r="BG771" s="15"/>
      <c r="BH771" s="15"/>
      <c r="BI771" s="15"/>
    </row>
    <row r="772" spans="1:61" ht="15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7"/>
      <c r="O772" s="17"/>
      <c r="P772" s="15"/>
      <c r="Q772" s="15"/>
      <c r="R772" s="15"/>
      <c r="S772" s="15"/>
      <c r="T772" s="15"/>
      <c r="U772" s="15"/>
      <c r="V772" s="17"/>
      <c r="W772" s="17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  <c r="AL772" s="15"/>
      <c r="AM772" s="15"/>
      <c r="AN772" s="15"/>
      <c r="AO772" s="15"/>
      <c r="AP772" s="15"/>
      <c r="AQ772" s="15"/>
      <c r="AR772" s="15"/>
      <c r="AS772" s="15"/>
      <c r="AT772" s="15"/>
      <c r="AU772" s="15"/>
      <c r="AV772" s="15"/>
      <c r="AW772" s="15"/>
      <c r="AX772" s="15"/>
      <c r="AY772" s="15"/>
      <c r="AZ772" s="15"/>
      <c r="BA772" s="15"/>
      <c r="BB772" s="15"/>
      <c r="BC772" s="15"/>
      <c r="BD772" s="15"/>
      <c r="BE772" s="15"/>
      <c r="BF772" s="15"/>
      <c r="BG772" s="15"/>
      <c r="BH772" s="15"/>
      <c r="BI772" s="15"/>
    </row>
    <row r="773" spans="1:61" ht="15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7"/>
      <c r="O773" s="17"/>
      <c r="P773" s="15"/>
      <c r="Q773" s="15"/>
      <c r="R773" s="15"/>
      <c r="S773" s="15"/>
      <c r="T773" s="15"/>
      <c r="U773" s="15"/>
      <c r="V773" s="17"/>
      <c r="W773" s="17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  <c r="AL773" s="15"/>
      <c r="AM773" s="15"/>
      <c r="AN773" s="15"/>
      <c r="AO773" s="15"/>
      <c r="AP773" s="15"/>
      <c r="AQ773" s="15"/>
      <c r="AR773" s="15"/>
      <c r="AS773" s="15"/>
      <c r="AT773" s="15"/>
      <c r="AU773" s="15"/>
      <c r="AV773" s="15"/>
      <c r="AW773" s="15"/>
      <c r="AX773" s="15"/>
      <c r="AY773" s="15"/>
      <c r="AZ773" s="15"/>
      <c r="BA773" s="15"/>
      <c r="BB773" s="15"/>
      <c r="BC773" s="15"/>
      <c r="BD773" s="15"/>
      <c r="BE773" s="15"/>
      <c r="BF773" s="15"/>
      <c r="BG773" s="15"/>
      <c r="BH773" s="15"/>
      <c r="BI773" s="15"/>
    </row>
    <row r="774" spans="1:61" ht="15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7"/>
      <c r="O774" s="17"/>
      <c r="P774" s="15"/>
      <c r="Q774" s="15"/>
      <c r="R774" s="15"/>
      <c r="S774" s="15"/>
      <c r="T774" s="15"/>
      <c r="U774" s="15"/>
      <c r="V774" s="17"/>
      <c r="W774" s="17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  <c r="AL774" s="15"/>
      <c r="AM774" s="15"/>
      <c r="AN774" s="15"/>
      <c r="AO774" s="15"/>
      <c r="AP774" s="15"/>
      <c r="AQ774" s="15"/>
      <c r="AR774" s="15"/>
      <c r="AS774" s="15"/>
      <c r="AT774" s="15"/>
      <c r="AU774" s="15"/>
      <c r="AV774" s="15"/>
      <c r="AW774" s="15"/>
      <c r="AX774" s="15"/>
      <c r="AY774" s="15"/>
      <c r="AZ774" s="15"/>
      <c r="BA774" s="15"/>
      <c r="BB774" s="15"/>
      <c r="BC774" s="15"/>
      <c r="BD774" s="15"/>
      <c r="BE774" s="15"/>
      <c r="BF774" s="15"/>
      <c r="BG774" s="15"/>
      <c r="BH774" s="15"/>
      <c r="BI774" s="15"/>
    </row>
    <row r="775" spans="1:61" ht="15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7"/>
      <c r="O775" s="17"/>
      <c r="P775" s="15"/>
      <c r="Q775" s="15"/>
      <c r="R775" s="15"/>
      <c r="S775" s="15"/>
      <c r="T775" s="15"/>
      <c r="U775" s="15"/>
      <c r="V775" s="17"/>
      <c r="W775" s="17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  <c r="AL775" s="15"/>
      <c r="AM775" s="15"/>
      <c r="AN775" s="15"/>
      <c r="AO775" s="15"/>
      <c r="AP775" s="15"/>
      <c r="AQ775" s="15"/>
      <c r="AR775" s="15"/>
      <c r="AS775" s="15"/>
      <c r="AT775" s="15"/>
      <c r="AU775" s="15"/>
      <c r="AV775" s="15"/>
      <c r="AW775" s="15"/>
      <c r="AX775" s="15"/>
      <c r="AY775" s="15"/>
      <c r="AZ775" s="15"/>
      <c r="BA775" s="15"/>
      <c r="BB775" s="15"/>
      <c r="BC775" s="15"/>
      <c r="BD775" s="15"/>
      <c r="BE775" s="15"/>
      <c r="BF775" s="15"/>
      <c r="BG775" s="15"/>
      <c r="BH775" s="15"/>
      <c r="BI775" s="15"/>
    </row>
    <row r="776" spans="1:61" ht="15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7"/>
      <c r="O776" s="17"/>
      <c r="P776" s="15"/>
      <c r="Q776" s="15"/>
      <c r="R776" s="15"/>
      <c r="S776" s="15"/>
      <c r="T776" s="15"/>
      <c r="U776" s="15"/>
      <c r="V776" s="17"/>
      <c r="W776" s="17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  <c r="AL776" s="15"/>
      <c r="AM776" s="15"/>
      <c r="AN776" s="15"/>
      <c r="AO776" s="15"/>
      <c r="AP776" s="15"/>
      <c r="AQ776" s="15"/>
      <c r="AR776" s="15"/>
      <c r="AS776" s="15"/>
      <c r="AT776" s="15"/>
      <c r="AU776" s="15"/>
      <c r="AV776" s="15"/>
      <c r="AW776" s="15"/>
      <c r="AX776" s="15"/>
      <c r="AY776" s="15"/>
      <c r="AZ776" s="15"/>
      <c r="BA776" s="15"/>
      <c r="BB776" s="15"/>
      <c r="BC776" s="15"/>
      <c r="BD776" s="15"/>
      <c r="BE776" s="15"/>
      <c r="BF776" s="15"/>
      <c r="BG776" s="15"/>
      <c r="BH776" s="15"/>
      <c r="BI776" s="15"/>
    </row>
    <row r="777" spans="1:61" ht="15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7"/>
      <c r="O777" s="17"/>
      <c r="P777" s="15"/>
      <c r="Q777" s="15"/>
      <c r="R777" s="15"/>
      <c r="S777" s="15"/>
      <c r="T777" s="15"/>
      <c r="U777" s="15"/>
      <c r="V777" s="17"/>
      <c r="W777" s="17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  <c r="AL777" s="15"/>
      <c r="AM777" s="15"/>
      <c r="AN777" s="15"/>
      <c r="AO777" s="15"/>
      <c r="AP777" s="15"/>
      <c r="AQ777" s="15"/>
      <c r="AR777" s="15"/>
      <c r="AS777" s="15"/>
      <c r="AT777" s="15"/>
      <c r="AU777" s="15"/>
      <c r="AV777" s="15"/>
      <c r="AW777" s="15"/>
      <c r="AX777" s="15"/>
      <c r="AY777" s="15"/>
      <c r="AZ777" s="15"/>
      <c r="BA777" s="15"/>
      <c r="BB777" s="15"/>
      <c r="BC777" s="15"/>
      <c r="BD777" s="15"/>
      <c r="BE777" s="15"/>
      <c r="BF777" s="15"/>
      <c r="BG777" s="15"/>
      <c r="BH777" s="15"/>
      <c r="BI777" s="15"/>
    </row>
    <row r="778" spans="1:61" ht="15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7"/>
      <c r="O778" s="17"/>
      <c r="P778" s="15"/>
      <c r="Q778" s="15"/>
      <c r="R778" s="15"/>
      <c r="S778" s="15"/>
      <c r="T778" s="15"/>
      <c r="U778" s="15"/>
      <c r="V778" s="17"/>
      <c r="W778" s="17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  <c r="AL778" s="15"/>
      <c r="AM778" s="15"/>
      <c r="AN778" s="15"/>
      <c r="AO778" s="15"/>
      <c r="AP778" s="15"/>
      <c r="AQ778" s="15"/>
      <c r="AR778" s="15"/>
      <c r="AS778" s="15"/>
      <c r="AT778" s="15"/>
      <c r="AU778" s="15"/>
      <c r="AV778" s="15"/>
      <c r="AW778" s="15"/>
      <c r="AX778" s="15"/>
      <c r="AY778" s="15"/>
      <c r="AZ778" s="15"/>
      <c r="BA778" s="15"/>
      <c r="BB778" s="15"/>
      <c r="BC778" s="15"/>
      <c r="BD778" s="15"/>
      <c r="BE778" s="15"/>
      <c r="BF778" s="15"/>
      <c r="BG778" s="15"/>
      <c r="BH778" s="15"/>
      <c r="BI778" s="15"/>
    </row>
    <row r="779" spans="1:61" ht="15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7"/>
      <c r="O779" s="17"/>
      <c r="P779" s="15"/>
      <c r="Q779" s="15"/>
      <c r="R779" s="15"/>
      <c r="S779" s="15"/>
      <c r="T779" s="15"/>
      <c r="U779" s="15"/>
      <c r="V779" s="17"/>
      <c r="W779" s="17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  <c r="AL779" s="15"/>
      <c r="AM779" s="15"/>
      <c r="AN779" s="15"/>
      <c r="AO779" s="15"/>
      <c r="AP779" s="15"/>
      <c r="AQ779" s="15"/>
      <c r="AR779" s="15"/>
      <c r="AS779" s="15"/>
      <c r="AT779" s="15"/>
      <c r="AU779" s="15"/>
      <c r="AV779" s="15"/>
      <c r="AW779" s="15"/>
      <c r="AX779" s="15"/>
      <c r="AY779" s="15"/>
      <c r="AZ779" s="15"/>
      <c r="BA779" s="15"/>
      <c r="BB779" s="15"/>
      <c r="BC779" s="15"/>
      <c r="BD779" s="15"/>
      <c r="BE779" s="15"/>
      <c r="BF779" s="15"/>
      <c r="BG779" s="15"/>
      <c r="BH779" s="15"/>
      <c r="BI779" s="15"/>
    </row>
    <row r="780" spans="1:61" ht="15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7"/>
      <c r="O780" s="17"/>
      <c r="P780" s="15"/>
      <c r="Q780" s="15"/>
      <c r="R780" s="15"/>
      <c r="S780" s="15"/>
      <c r="T780" s="15"/>
      <c r="U780" s="15"/>
      <c r="V780" s="17"/>
      <c r="W780" s="17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  <c r="AL780" s="15"/>
      <c r="AM780" s="15"/>
      <c r="AN780" s="15"/>
      <c r="AO780" s="15"/>
      <c r="AP780" s="15"/>
      <c r="AQ780" s="15"/>
      <c r="AR780" s="15"/>
      <c r="AS780" s="15"/>
      <c r="AT780" s="15"/>
      <c r="AU780" s="15"/>
      <c r="AV780" s="15"/>
      <c r="AW780" s="15"/>
      <c r="AX780" s="15"/>
      <c r="AY780" s="15"/>
      <c r="AZ780" s="15"/>
      <c r="BA780" s="15"/>
      <c r="BB780" s="15"/>
      <c r="BC780" s="15"/>
      <c r="BD780" s="15"/>
      <c r="BE780" s="15"/>
      <c r="BF780" s="15"/>
      <c r="BG780" s="15"/>
      <c r="BH780" s="15"/>
      <c r="BI780" s="15"/>
    </row>
    <row r="781" spans="1:61" ht="15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7"/>
      <c r="O781" s="17"/>
      <c r="P781" s="15"/>
      <c r="Q781" s="15"/>
      <c r="R781" s="15"/>
      <c r="S781" s="15"/>
      <c r="T781" s="15"/>
      <c r="U781" s="15"/>
      <c r="V781" s="17"/>
      <c r="W781" s="17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  <c r="AL781" s="15"/>
      <c r="AM781" s="15"/>
      <c r="AN781" s="15"/>
      <c r="AO781" s="15"/>
      <c r="AP781" s="15"/>
      <c r="AQ781" s="15"/>
      <c r="AR781" s="15"/>
      <c r="AS781" s="15"/>
      <c r="AT781" s="15"/>
      <c r="AU781" s="15"/>
      <c r="AV781" s="15"/>
      <c r="AW781" s="15"/>
      <c r="AX781" s="15"/>
      <c r="AY781" s="15"/>
      <c r="AZ781" s="15"/>
      <c r="BA781" s="15"/>
      <c r="BB781" s="15"/>
      <c r="BC781" s="15"/>
      <c r="BD781" s="15"/>
      <c r="BE781" s="15"/>
      <c r="BF781" s="15"/>
      <c r="BG781" s="15"/>
      <c r="BH781" s="15"/>
      <c r="BI781" s="15"/>
    </row>
    <row r="782" spans="1:61" ht="15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7"/>
      <c r="O782" s="17"/>
      <c r="P782" s="15"/>
      <c r="Q782" s="15"/>
      <c r="R782" s="15"/>
      <c r="S782" s="15"/>
      <c r="T782" s="15"/>
      <c r="U782" s="15"/>
      <c r="V782" s="17"/>
      <c r="W782" s="17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  <c r="AL782" s="15"/>
      <c r="AM782" s="15"/>
      <c r="AN782" s="15"/>
      <c r="AO782" s="15"/>
      <c r="AP782" s="15"/>
      <c r="AQ782" s="15"/>
      <c r="AR782" s="15"/>
      <c r="AS782" s="15"/>
      <c r="AT782" s="15"/>
      <c r="AU782" s="15"/>
      <c r="AV782" s="15"/>
      <c r="AW782" s="15"/>
      <c r="AX782" s="15"/>
      <c r="AY782" s="15"/>
      <c r="AZ782" s="15"/>
      <c r="BA782" s="15"/>
      <c r="BB782" s="15"/>
      <c r="BC782" s="15"/>
      <c r="BD782" s="15"/>
      <c r="BE782" s="15"/>
      <c r="BF782" s="15"/>
      <c r="BG782" s="15"/>
      <c r="BH782" s="15"/>
      <c r="BI782" s="15"/>
    </row>
    <row r="783" spans="1:61" ht="15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7"/>
      <c r="O783" s="17"/>
      <c r="P783" s="15"/>
      <c r="Q783" s="15"/>
      <c r="R783" s="15"/>
      <c r="S783" s="15"/>
      <c r="T783" s="15"/>
      <c r="U783" s="15"/>
      <c r="V783" s="17"/>
      <c r="W783" s="17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  <c r="AL783" s="15"/>
      <c r="AM783" s="15"/>
      <c r="AN783" s="15"/>
      <c r="AO783" s="15"/>
      <c r="AP783" s="15"/>
      <c r="AQ783" s="15"/>
      <c r="AR783" s="15"/>
      <c r="AS783" s="15"/>
      <c r="AT783" s="15"/>
      <c r="AU783" s="15"/>
      <c r="AV783" s="15"/>
      <c r="AW783" s="15"/>
      <c r="AX783" s="15"/>
      <c r="AY783" s="15"/>
      <c r="AZ783" s="15"/>
      <c r="BA783" s="15"/>
      <c r="BB783" s="15"/>
      <c r="BC783" s="15"/>
      <c r="BD783" s="15"/>
      <c r="BE783" s="15"/>
      <c r="BF783" s="15"/>
      <c r="BG783" s="15"/>
      <c r="BH783" s="15"/>
      <c r="BI783" s="15"/>
    </row>
    <row r="784" spans="1:61" ht="15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7"/>
      <c r="O784" s="17"/>
      <c r="P784" s="15"/>
      <c r="Q784" s="15"/>
      <c r="R784" s="15"/>
      <c r="S784" s="15"/>
      <c r="T784" s="15"/>
      <c r="U784" s="15"/>
      <c r="V784" s="17"/>
      <c r="W784" s="17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  <c r="AL784" s="15"/>
      <c r="AM784" s="15"/>
      <c r="AN784" s="15"/>
      <c r="AO784" s="15"/>
      <c r="AP784" s="15"/>
      <c r="AQ784" s="15"/>
      <c r="AR784" s="15"/>
      <c r="AS784" s="15"/>
      <c r="AT784" s="15"/>
      <c r="AU784" s="15"/>
      <c r="AV784" s="15"/>
      <c r="AW784" s="15"/>
      <c r="AX784" s="15"/>
      <c r="AY784" s="15"/>
      <c r="AZ784" s="15"/>
      <c r="BA784" s="15"/>
      <c r="BB784" s="15"/>
      <c r="BC784" s="15"/>
      <c r="BD784" s="15"/>
      <c r="BE784" s="15"/>
      <c r="BF784" s="15"/>
      <c r="BG784" s="15"/>
      <c r="BH784" s="15"/>
      <c r="BI784" s="15"/>
    </row>
    <row r="785" spans="1:61" ht="15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7"/>
      <c r="O785" s="17"/>
      <c r="P785" s="15"/>
      <c r="Q785" s="15"/>
      <c r="R785" s="15"/>
      <c r="S785" s="15"/>
      <c r="T785" s="15"/>
      <c r="U785" s="15"/>
      <c r="V785" s="17"/>
      <c r="W785" s="17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  <c r="AL785" s="15"/>
      <c r="AM785" s="15"/>
      <c r="AN785" s="15"/>
      <c r="AO785" s="15"/>
      <c r="AP785" s="15"/>
      <c r="AQ785" s="15"/>
      <c r="AR785" s="15"/>
      <c r="AS785" s="15"/>
      <c r="AT785" s="15"/>
      <c r="AU785" s="15"/>
      <c r="AV785" s="15"/>
      <c r="AW785" s="15"/>
      <c r="AX785" s="15"/>
      <c r="AY785" s="15"/>
      <c r="AZ785" s="15"/>
      <c r="BA785" s="15"/>
      <c r="BB785" s="15"/>
      <c r="BC785" s="15"/>
      <c r="BD785" s="15"/>
      <c r="BE785" s="15"/>
      <c r="BF785" s="15"/>
      <c r="BG785" s="15"/>
      <c r="BH785" s="15"/>
      <c r="BI785" s="15"/>
    </row>
    <row r="786" spans="1:61" ht="15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7"/>
      <c r="O786" s="17"/>
      <c r="P786" s="15"/>
      <c r="Q786" s="15"/>
      <c r="R786" s="15"/>
      <c r="S786" s="15"/>
      <c r="T786" s="15"/>
      <c r="U786" s="15"/>
      <c r="V786" s="17"/>
      <c r="W786" s="17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  <c r="AL786" s="15"/>
      <c r="AM786" s="15"/>
      <c r="AN786" s="15"/>
      <c r="AO786" s="15"/>
      <c r="AP786" s="15"/>
      <c r="AQ786" s="15"/>
      <c r="AR786" s="15"/>
      <c r="AS786" s="15"/>
      <c r="AT786" s="15"/>
      <c r="AU786" s="15"/>
      <c r="AV786" s="15"/>
      <c r="AW786" s="15"/>
      <c r="AX786" s="15"/>
      <c r="AY786" s="15"/>
      <c r="AZ786" s="15"/>
      <c r="BA786" s="15"/>
      <c r="BB786" s="15"/>
      <c r="BC786" s="15"/>
      <c r="BD786" s="15"/>
      <c r="BE786" s="15"/>
      <c r="BF786" s="15"/>
      <c r="BG786" s="15"/>
      <c r="BH786" s="15"/>
      <c r="BI786" s="15"/>
    </row>
    <row r="787" spans="1:61" ht="15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7"/>
      <c r="O787" s="17"/>
      <c r="P787" s="15"/>
      <c r="Q787" s="15"/>
      <c r="R787" s="15"/>
      <c r="S787" s="15"/>
      <c r="T787" s="15"/>
      <c r="U787" s="15"/>
      <c r="V787" s="17"/>
      <c r="W787" s="17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  <c r="AL787" s="15"/>
      <c r="AM787" s="15"/>
      <c r="AN787" s="15"/>
      <c r="AO787" s="15"/>
      <c r="AP787" s="15"/>
      <c r="AQ787" s="15"/>
      <c r="AR787" s="15"/>
      <c r="AS787" s="15"/>
      <c r="AT787" s="15"/>
      <c r="AU787" s="15"/>
      <c r="AV787" s="15"/>
      <c r="AW787" s="15"/>
      <c r="AX787" s="15"/>
      <c r="AY787" s="15"/>
      <c r="AZ787" s="15"/>
      <c r="BA787" s="15"/>
      <c r="BB787" s="15"/>
      <c r="BC787" s="15"/>
      <c r="BD787" s="15"/>
      <c r="BE787" s="15"/>
      <c r="BF787" s="15"/>
      <c r="BG787" s="15"/>
      <c r="BH787" s="15"/>
      <c r="BI787" s="15"/>
    </row>
    <row r="788" spans="1:61" ht="15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7"/>
      <c r="O788" s="17"/>
      <c r="P788" s="15"/>
      <c r="Q788" s="15"/>
      <c r="R788" s="15"/>
      <c r="S788" s="15"/>
      <c r="T788" s="15"/>
      <c r="U788" s="15"/>
      <c r="V788" s="17"/>
      <c r="W788" s="17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  <c r="AL788" s="15"/>
      <c r="AM788" s="15"/>
      <c r="AN788" s="15"/>
      <c r="AO788" s="15"/>
      <c r="AP788" s="15"/>
      <c r="AQ788" s="15"/>
      <c r="AR788" s="15"/>
      <c r="AS788" s="15"/>
      <c r="AT788" s="15"/>
      <c r="AU788" s="15"/>
      <c r="AV788" s="15"/>
      <c r="AW788" s="15"/>
      <c r="AX788" s="15"/>
      <c r="AY788" s="15"/>
      <c r="AZ788" s="15"/>
      <c r="BA788" s="15"/>
      <c r="BB788" s="15"/>
      <c r="BC788" s="15"/>
      <c r="BD788" s="15"/>
      <c r="BE788" s="15"/>
      <c r="BF788" s="15"/>
      <c r="BG788" s="15"/>
      <c r="BH788" s="15"/>
      <c r="BI788" s="15"/>
    </row>
    <row r="789" spans="1:61" ht="15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7"/>
      <c r="O789" s="17"/>
      <c r="P789" s="15"/>
      <c r="Q789" s="15"/>
      <c r="R789" s="15"/>
      <c r="S789" s="15"/>
      <c r="T789" s="15"/>
      <c r="U789" s="15"/>
      <c r="V789" s="17"/>
      <c r="W789" s="17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  <c r="AL789" s="15"/>
      <c r="AM789" s="15"/>
      <c r="AN789" s="15"/>
      <c r="AO789" s="15"/>
      <c r="AP789" s="15"/>
      <c r="AQ789" s="15"/>
      <c r="AR789" s="15"/>
      <c r="AS789" s="15"/>
      <c r="AT789" s="15"/>
      <c r="AU789" s="15"/>
      <c r="AV789" s="15"/>
      <c r="AW789" s="15"/>
      <c r="AX789" s="15"/>
      <c r="AY789" s="15"/>
      <c r="AZ789" s="15"/>
      <c r="BA789" s="15"/>
      <c r="BB789" s="15"/>
      <c r="BC789" s="15"/>
      <c r="BD789" s="15"/>
      <c r="BE789" s="15"/>
      <c r="BF789" s="15"/>
      <c r="BG789" s="15"/>
      <c r="BH789" s="15"/>
      <c r="BI789" s="15"/>
    </row>
    <row r="790" spans="1:61" ht="15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7"/>
      <c r="O790" s="17"/>
      <c r="P790" s="15"/>
      <c r="Q790" s="15"/>
      <c r="R790" s="15"/>
      <c r="S790" s="15"/>
      <c r="T790" s="15"/>
      <c r="U790" s="15"/>
      <c r="V790" s="17"/>
      <c r="W790" s="17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  <c r="AL790" s="15"/>
      <c r="AM790" s="15"/>
      <c r="AN790" s="15"/>
      <c r="AO790" s="15"/>
      <c r="AP790" s="15"/>
      <c r="AQ790" s="15"/>
      <c r="AR790" s="15"/>
      <c r="AS790" s="15"/>
      <c r="AT790" s="15"/>
      <c r="AU790" s="15"/>
      <c r="AV790" s="15"/>
      <c r="AW790" s="15"/>
      <c r="AX790" s="15"/>
      <c r="AY790" s="15"/>
      <c r="AZ790" s="15"/>
      <c r="BA790" s="15"/>
      <c r="BB790" s="15"/>
      <c r="BC790" s="15"/>
      <c r="BD790" s="15"/>
      <c r="BE790" s="15"/>
      <c r="BF790" s="15"/>
      <c r="BG790" s="15"/>
      <c r="BH790" s="15"/>
      <c r="BI790" s="15"/>
    </row>
    <row r="791" spans="1:61" ht="15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7"/>
      <c r="O791" s="17"/>
      <c r="P791" s="15"/>
      <c r="Q791" s="15"/>
      <c r="R791" s="15"/>
      <c r="S791" s="15"/>
      <c r="T791" s="15"/>
      <c r="U791" s="15"/>
      <c r="V791" s="17"/>
      <c r="W791" s="17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  <c r="AL791" s="15"/>
      <c r="AM791" s="15"/>
      <c r="AN791" s="15"/>
      <c r="AO791" s="15"/>
      <c r="AP791" s="15"/>
      <c r="AQ791" s="15"/>
      <c r="AR791" s="15"/>
      <c r="AS791" s="15"/>
      <c r="AT791" s="15"/>
      <c r="AU791" s="15"/>
      <c r="AV791" s="15"/>
      <c r="AW791" s="15"/>
      <c r="AX791" s="15"/>
      <c r="AY791" s="15"/>
      <c r="AZ791" s="15"/>
      <c r="BA791" s="15"/>
      <c r="BB791" s="15"/>
      <c r="BC791" s="15"/>
      <c r="BD791" s="15"/>
      <c r="BE791" s="15"/>
      <c r="BF791" s="15"/>
      <c r="BG791" s="15"/>
      <c r="BH791" s="15"/>
      <c r="BI791" s="15"/>
    </row>
    <row r="792" spans="1:61" ht="15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7"/>
      <c r="O792" s="17"/>
      <c r="P792" s="15"/>
      <c r="Q792" s="15"/>
      <c r="R792" s="15"/>
      <c r="S792" s="15"/>
      <c r="T792" s="15"/>
      <c r="U792" s="15"/>
      <c r="V792" s="17"/>
      <c r="W792" s="17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  <c r="AL792" s="15"/>
      <c r="AM792" s="15"/>
      <c r="AN792" s="15"/>
      <c r="AO792" s="15"/>
      <c r="AP792" s="15"/>
      <c r="AQ792" s="15"/>
      <c r="AR792" s="15"/>
      <c r="AS792" s="15"/>
      <c r="AT792" s="15"/>
      <c r="AU792" s="15"/>
      <c r="AV792" s="15"/>
      <c r="AW792" s="15"/>
      <c r="AX792" s="15"/>
      <c r="AY792" s="15"/>
      <c r="AZ792" s="15"/>
      <c r="BA792" s="15"/>
      <c r="BB792" s="15"/>
      <c r="BC792" s="15"/>
      <c r="BD792" s="15"/>
      <c r="BE792" s="15"/>
      <c r="BF792" s="15"/>
      <c r="BG792" s="15"/>
      <c r="BH792" s="15"/>
      <c r="BI792" s="15"/>
    </row>
    <row r="793" spans="1:61" ht="15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7"/>
      <c r="O793" s="17"/>
      <c r="P793" s="15"/>
      <c r="Q793" s="15"/>
      <c r="R793" s="15"/>
      <c r="S793" s="15"/>
      <c r="T793" s="15"/>
      <c r="U793" s="15"/>
      <c r="V793" s="17"/>
      <c r="W793" s="17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  <c r="AL793" s="15"/>
      <c r="AM793" s="15"/>
      <c r="AN793" s="15"/>
      <c r="AO793" s="15"/>
      <c r="AP793" s="15"/>
      <c r="AQ793" s="15"/>
      <c r="AR793" s="15"/>
      <c r="AS793" s="15"/>
      <c r="AT793" s="15"/>
      <c r="AU793" s="15"/>
      <c r="AV793" s="15"/>
      <c r="AW793" s="15"/>
      <c r="AX793" s="15"/>
      <c r="AY793" s="15"/>
      <c r="AZ793" s="15"/>
      <c r="BA793" s="15"/>
      <c r="BB793" s="15"/>
      <c r="BC793" s="15"/>
      <c r="BD793" s="15"/>
      <c r="BE793" s="15"/>
      <c r="BF793" s="15"/>
      <c r="BG793" s="15"/>
      <c r="BH793" s="15"/>
      <c r="BI793" s="15"/>
    </row>
    <row r="794" spans="1:61" ht="15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7"/>
      <c r="O794" s="17"/>
      <c r="P794" s="15"/>
      <c r="Q794" s="15"/>
      <c r="R794" s="15"/>
      <c r="S794" s="15"/>
      <c r="T794" s="15"/>
      <c r="U794" s="15"/>
      <c r="V794" s="17"/>
      <c r="W794" s="17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  <c r="AL794" s="15"/>
      <c r="AM794" s="15"/>
      <c r="AN794" s="15"/>
      <c r="AO794" s="15"/>
      <c r="AP794" s="15"/>
      <c r="AQ794" s="15"/>
      <c r="AR794" s="15"/>
      <c r="AS794" s="15"/>
      <c r="AT794" s="15"/>
      <c r="AU794" s="15"/>
      <c r="AV794" s="15"/>
      <c r="AW794" s="15"/>
      <c r="AX794" s="15"/>
      <c r="AY794" s="15"/>
      <c r="AZ794" s="15"/>
      <c r="BA794" s="15"/>
      <c r="BB794" s="15"/>
      <c r="BC794" s="15"/>
      <c r="BD794" s="15"/>
      <c r="BE794" s="15"/>
      <c r="BF794" s="15"/>
      <c r="BG794" s="15"/>
      <c r="BH794" s="15"/>
      <c r="BI794" s="15"/>
    </row>
    <row r="795" spans="1:61" ht="15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7"/>
      <c r="O795" s="17"/>
      <c r="P795" s="15"/>
      <c r="Q795" s="15"/>
      <c r="R795" s="15"/>
      <c r="S795" s="15"/>
      <c r="T795" s="15"/>
      <c r="U795" s="15"/>
      <c r="V795" s="17"/>
      <c r="W795" s="17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  <c r="AL795" s="15"/>
      <c r="AM795" s="15"/>
      <c r="AN795" s="15"/>
      <c r="AO795" s="15"/>
      <c r="AP795" s="15"/>
      <c r="AQ795" s="15"/>
      <c r="AR795" s="15"/>
      <c r="AS795" s="15"/>
      <c r="AT795" s="15"/>
      <c r="AU795" s="15"/>
      <c r="AV795" s="15"/>
      <c r="AW795" s="15"/>
      <c r="AX795" s="15"/>
      <c r="AY795" s="15"/>
      <c r="AZ795" s="15"/>
      <c r="BA795" s="15"/>
      <c r="BB795" s="15"/>
      <c r="BC795" s="15"/>
      <c r="BD795" s="15"/>
      <c r="BE795" s="15"/>
      <c r="BF795" s="15"/>
      <c r="BG795" s="15"/>
      <c r="BH795" s="15"/>
      <c r="BI795" s="15"/>
    </row>
    <row r="796" spans="1:61" ht="15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7"/>
      <c r="O796" s="17"/>
      <c r="P796" s="15"/>
      <c r="Q796" s="15"/>
      <c r="R796" s="15"/>
      <c r="S796" s="15"/>
      <c r="T796" s="15"/>
      <c r="U796" s="15"/>
      <c r="V796" s="17"/>
      <c r="W796" s="17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  <c r="AL796" s="15"/>
      <c r="AM796" s="15"/>
      <c r="AN796" s="15"/>
      <c r="AO796" s="15"/>
      <c r="AP796" s="15"/>
      <c r="AQ796" s="15"/>
      <c r="AR796" s="15"/>
      <c r="AS796" s="15"/>
      <c r="AT796" s="15"/>
      <c r="AU796" s="15"/>
      <c r="AV796" s="15"/>
      <c r="AW796" s="15"/>
      <c r="AX796" s="15"/>
      <c r="AY796" s="15"/>
      <c r="AZ796" s="15"/>
      <c r="BA796" s="15"/>
      <c r="BB796" s="15"/>
      <c r="BC796" s="15"/>
      <c r="BD796" s="15"/>
      <c r="BE796" s="15"/>
      <c r="BF796" s="15"/>
      <c r="BG796" s="15"/>
      <c r="BH796" s="15"/>
      <c r="BI796" s="15"/>
    </row>
    <row r="797" spans="1:61" ht="15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7"/>
      <c r="O797" s="17"/>
      <c r="P797" s="15"/>
      <c r="Q797" s="15"/>
      <c r="R797" s="15"/>
      <c r="S797" s="15"/>
      <c r="T797" s="15"/>
      <c r="U797" s="15"/>
      <c r="V797" s="17"/>
      <c r="W797" s="17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  <c r="AL797" s="15"/>
      <c r="AM797" s="15"/>
      <c r="AN797" s="15"/>
      <c r="AO797" s="15"/>
      <c r="AP797" s="15"/>
      <c r="AQ797" s="15"/>
      <c r="AR797" s="15"/>
      <c r="AS797" s="15"/>
      <c r="AT797" s="15"/>
      <c r="AU797" s="15"/>
      <c r="AV797" s="15"/>
      <c r="AW797" s="15"/>
      <c r="AX797" s="15"/>
      <c r="AY797" s="15"/>
      <c r="AZ797" s="15"/>
      <c r="BA797" s="15"/>
      <c r="BB797" s="15"/>
      <c r="BC797" s="15"/>
      <c r="BD797" s="15"/>
      <c r="BE797" s="15"/>
      <c r="BF797" s="15"/>
      <c r="BG797" s="15"/>
      <c r="BH797" s="15"/>
      <c r="BI797" s="15"/>
    </row>
    <row r="798" spans="1:61" ht="15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7"/>
      <c r="O798" s="17"/>
      <c r="P798" s="15"/>
      <c r="Q798" s="15"/>
      <c r="R798" s="15"/>
      <c r="S798" s="15"/>
      <c r="T798" s="15"/>
      <c r="U798" s="15"/>
      <c r="V798" s="17"/>
      <c r="W798" s="17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  <c r="AL798" s="15"/>
      <c r="AM798" s="15"/>
      <c r="AN798" s="15"/>
      <c r="AO798" s="15"/>
      <c r="AP798" s="15"/>
      <c r="AQ798" s="15"/>
      <c r="AR798" s="15"/>
      <c r="AS798" s="15"/>
      <c r="AT798" s="15"/>
      <c r="AU798" s="15"/>
      <c r="AV798" s="15"/>
      <c r="AW798" s="15"/>
      <c r="AX798" s="15"/>
      <c r="AY798" s="15"/>
      <c r="AZ798" s="15"/>
      <c r="BA798" s="15"/>
      <c r="BB798" s="15"/>
      <c r="BC798" s="15"/>
      <c r="BD798" s="15"/>
      <c r="BE798" s="15"/>
      <c r="BF798" s="15"/>
      <c r="BG798" s="15"/>
      <c r="BH798" s="15"/>
      <c r="BI798" s="15"/>
    </row>
    <row r="799" spans="1:61" ht="15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7"/>
      <c r="O799" s="17"/>
      <c r="P799" s="15"/>
      <c r="Q799" s="15"/>
      <c r="R799" s="15"/>
      <c r="S799" s="15"/>
      <c r="T799" s="15"/>
      <c r="U799" s="15"/>
      <c r="V799" s="17"/>
      <c r="W799" s="17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  <c r="AL799" s="15"/>
      <c r="AM799" s="15"/>
      <c r="AN799" s="15"/>
      <c r="AO799" s="15"/>
      <c r="AP799" s="15"/>
      <c r="AQ799" s="15"/>
      <c r="AR799" s="15"/>
      <c r="AS799" s="15"/>
      <c r="AT799" s="15"/>
      <c r="AU799" s="15"/>
      <c r="AV799" s="15"/>
      <c r="AW799" s="15"/>
      <c r="AX799" s="15"/>
      <c r="AY799" s="15"/>
      <c r="AZ799" s="15"/>
      <c r="BA799" s="15"/>
      <c r="BB799" s="15"/>
      <c r="BC799" s="15"/>
      <c r="BD799" s="15"/>
      <c r="BE799" s="15"/>
      <c r="BF799" s="15"/>
      <c r="BG799" s="15"/>
      <c r="BH799" s="15"/>
      <c r="BI799" s="15"/>
    </row>
    <row r="800" spans="1:61" ht="15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7"/>
      <c r="O800" s="17"/>
      <c r="P800" s="15"/>
      <c r="Q800" s="15"/>
      <c r="R800" s="15"/>
      <c r="S800" s="15"/>
      <c r="T800" s="15"/>
      <c r="U800" s="15"/>
      <c r="V800" s="17"/>
      <c r="W800" s="17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  <c r="AL800" s="15"/>
      <c r="AM800" s="15"/>
      <c r="AN800" s="15"/>
      <c r="AO800" s="15"/>
      <c r="AP800" s="15"/>
      <c r="AQ800" s="15"/>
      <c r="AR800" s="15"/>
      <c r="AS800" s="15"/>
      <c r="AT800" s="15"/>
      <c r="AU800" s="15"/>
      <c r="AV800" s="15"/>
      <c r="AW800" s="15"/>
      <c r="AX800" s="15"/>
      <c r="AY800" s="15"/>
      <c r="AZ800" s="15"/>
      <c r="BA800" s="15"/>
      <c r="BB800" s="15"/>
      <c r="BC800" s="15"/>
      <c r="BD800" s="15"/>
      <c r="BE800" s="15"/>
      <c r="BF800" s="15"/>
      <c r="BG800" s="15"/>
      <c r="BH800" s="15"/>
      <c r="BI800" s="15"/>
    </row>
    <row r="801" spans="1:61" ht="15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7"/>
      <c r="O801" s="17"/>
      <c r="P801" s="15"/>
      <c r="Q801" s="15"/>
      <c r="R801" s="15"/>
      <c r="S801" s="15"/>
      <c r="T801" s="15"/>
      <c r="U801" s="15"/>
      <c r="V801" s="17"/>
      <c r="W801" s="17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  <c r="AL801" s="15"/>
      <c r="AM801" s="15"/>
      <c r="AN801" s="15"/>
      <c r="AO801" s="15"/>
      <c r="AP801" s="15"/>
      <c r="AQ801" s="15"/>
      <c r="AR801" s="15"/>
      <c r="AS801" s="15"/>
      <c r="AT801" s="15"/>
      <c r="AU801" s="15"/>
      <c r="AV801" s="15"/>
      <c r="AW801" s="15"/>
      <c r="AX801" s="15"/>
      <c r="AY801" s="15"/>
      <c r="AZ801" s="15"/>
      <c r="BA801" s="15"/>
      <c r="BB801" s="15"/>
      <c r="BC801" s="15"/>
      <c r="BD801" s="15"/>
      <c r="BE801" s="15"/>
      <c r="BF801" s="15"/>
      <c r="BG801" s="15"/>
      <c r="BH801" s="15"/>
      <c r="BI801" s="15"/>
    </row>
    <row r="802" spans="1:61" ht="15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7"/>
      <c r="O802" s="17"/>
      <c r="P802" s="15"/>
      <c r="Q802" s="15"/>
      <c r="R802" s="15"/>
      <c r="S802" s="15"/>
      <c r="T802" s="15"/>
      <c r="U802" s="15"/>
      <c r="V802" s="17"/>
      <c r="W802" s="17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  <c r="AL802" s="15"/>
      <c r="AM802" s="15"/>
      <c r="AN802" s="15"/>
      <c r="AO802" s="15"/>
      <c r="AP802" s="15"/>
      <c r="AQ802" s="15"/>
      <c r="AR802" s="15"/>
      <c r="AS802" s="15"/>
      <c r="AT802" s="15"/>
      <c r="AU802" s="15"/>
      <c r="AV802" s="15"/>
      <c r="AW802" s="15"/>
      <c r="AX802" s="15"/>
      <c r="AY802" s="15"/>
      <c r="AZ802" s="15"/>
      <c r="BA802" s="15"/>
      <c r="BB802" s="15"/>
      <c r="BC802" s="15"/>
      <c r="BD802" s="15"/>
      <c r="BE802" s="15"/>
      <c r="BF802" s="15"/>
      <c r="BG802" s="15"/>
      <c r="BH802" s="15"/>
      <c r="BI802" s="15"/>
    </row>
    <row r="803" spans="1:61" ht="15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7"/>
      <c r="O803" s="17"/>
      <c r="P803" s="15"/>
      <c r="Q803" s="15"/>
      <c r="R803" s="15"/>
      <c r="S803" s="15"/>
      <c r="T803" s="15"/>
      <c r="U803" s="15"/>
      <c r="V803" s="17"/>
      <c r="W803" s="17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  <c r="AL803" s="15"/>
      <c r="AM803" s="15"/>
      <c r="AN803" s="15"/>
      <c r="AO803" s="15"/>
      <c r="AP803" s="15"/>
      <c r="AQ803" s="15"/>
      <c r="AR803" s="15"/>
      <c r="AS803" s="15"/>
      <c r="AT803" s="15"/>
      <c r="AU803" s="15"/>
      <c r="AV803" s="15"/>
      <c r="AW803" s="15"/>
      <c r="AX803" s="15"/>
      <c r="AY803" s="15"/>
      <c r="AZ803" s="15"/>
      <c r="BA803" s="15"/>
      <c r="BB803" s="15"/>
      <c r="BC803" s="15"/>
      <c r="BD803" s="15"/>
      <c r="BE803" s="15"/>
      <c r="BF803" s="15"/>
      <c r="BG803" s="15"/>
      <c r="BH803" s="15"/>
      <c r="BI803" s="15"/>
    </row>
    <row r="804" spans="1:61" ht="15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7"/>
      <c r="O804" s="17"/>
      <c r="P804" s="15"/>
      <c r="Q804" s="15"/>
      <c r="R804" s="15"/>
      <c r="S804" s="15"/>
      <c r="T804" s="15"/>
      <c r="U804" s="15"/>
      <c r="V804" s="17"/>
      <c r="W804" s="17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  <c r="AL804" s="15"/>
      <c r="AM804" s="15"/>
      <c r="AN804" s="15"/>
      <c r="AO804" s="15"/>
      <c r="AP804" s="15"/>
      <c r="AQ804" s="15"/>
      <c r="AR804" s="15"/>
      <c r="AS804" s="15"/>
      <c r="AT804" s="15"/>
      <c r="AU804" s="15"/>
      <c r="AV804" s="15"/>
      <c r="AW804" s="15"/>
      <c r="AX804" s="15"/>
      <c r="AY804" s="15"/>
      <c r="AZ804" s="15"/>
      <c r="BA804" s="15"/>
      <c r="BB804" s="15"/>
      <c r="BC804" s="15"/>
      <c r="BD804" s="15"/>
      <c r="BE804" s="15"/>
      <c r="BF804" s="15"/>
      <c r="BG804" s="15"/>
      <c r="BH804" s="15"/>
      <c r="BI804" s="15"/>
    </row>
    <row r="805" spans="1:61" ht="15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7"/>
      <c r="O805" s="17"/>
      <c r="P805" s="15"/>
      <c r="Q805" s="15"/>
      <c r="R805" s="15"/>
      <c r="S805" s="15"/>
      <c r="T805" s="15"/>
      <c r="U805" s="15"/>
      <c r="V805" s="17"/>
      <c r="W805" s="17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  <c r="AL805" s="15"/>
      <c r="AM805" s="15"/>
      <c r="AN805" s="15"/>
      <c r="AO805" s="15"/>
      <c r="AP805" s="15"/>
      <c r="AQ805" s="15"/>
      <c r="AR805" s="15"/>
      <c r="AS805" s="15"/>
      <c r="AT805" s="15"/>
      <c r="AU805" s="15"/>
      <c r="AV805" s="15"/>
      <c r="AW805" s="15"/>
      <c r="AX805" s="15"/>
      <c r="AY805" s="15"/>
      <c r="AZ805" s="15"/>
      <c r="BA805" s="15"/>
      <c r="BB805" s="15"/>
      <c r="BC805" s="15"/>
      <c r="BD805" s="15"/>
      <c r="BE805" s="15"/>
      <c r="BF805" s="15"/>
      <c r="BG805" s="15"/>
      <c r="BH805" s="15"/>
      <c r="BI805" s="15"/>
    </row>
    <row r="806" spans="1:61" ht="15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7"/>
      <c r="O806" s="17"/>
      <c r="P806" s="15"/>
      <c r="Q806" s="15"/>
      <c r="R806" s="15"/>
      <c r="S806" s="15"/>
      <c r="T806" s="15"/>
      <c r="U806" s="15"/>
      <c r="V806" s="17"/>
      <c r="W806" s="17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  <c r="AL806" s="15"/>
      <c r="AM806" s="15"/>
      <c r="AN806" s="15"/>
      <c r="AO806" s="15"/>
      <c r="AP806" s="15"/>
      <c r="AQ806" s="15"/>
      <c r="AR806" s="15"/>
      <c r="AS806" s="15"/>
      <c r="AT806" s="15"/>
      <c r="AU806" s="15"/>
      <c r="AV806" s="15"/>
      <c r="AW806" s="15"/>
      <c r="AX806" s="15"/>
      <c r="AY806" s="15"/>
      <c r="AZ806" s="15"/>
      <c r="BA806" s="15"/>
      <c r="BB806" s="15"/>
      <c r="BC806" s="15"/>
      <c r="BD806" s="15"/>
      <c r="BE806" s="15"/>
      <c r="BF806" s="15"/>
      <c r="BG806" s="15"/>
      <c r="BH806" s="15"/>
      <c r="BI806" s="15"/>
    </row>
    <row r="807" spans="1:61" ht="15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7"/>
      <c r="O807" s="17"/>
      <c r="P807" s="15"/>
      <c r="Q807" s="15"/>
      <c r="R807" s="15"/>
      <c r="S807" s="15"/>
      <c r="T807" s="15"/>
      <c r="U807" s="15"/>
      <c r="V807" s="17"/>
      <c r="W807" s="17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  <c r="AL807" s="15"/>
      <c r="AM807" s="15"/>
      <c r="AN807" s="15"/>
      <c r="AO807" s="15"/>
      <c r="AP807" s="15"/>
      <c r="AQ807" s="15"/>
      <c r="AR807" s="15"/>
      <c r="AS807" s="15"/>
      <c r="AT807" s="15"/>
      <c r="AU807" s="15"/>
      <c r="AV807" s="15"/>
      <c r="AW807" s="15"/>
      <c r="AX807" s="15"/>
      <c r="AY807" s="15"/>
      <c r="AZ807" s="15"/>
      <c r="BA807" s="15"/>
      <c r="BB807" s="15"/>
      <c r="BC807" s="15"/>
      <c r="BD807" s="15"/>
      <c r="BE807" s="15"/>
      <c r="BF807" s="15"/>
      <c r="BG807" s="15"/>
      <c r="BH807" s="15"/>
      <c r="BI807" s="15"/>
    </row>
    <row r="808" spans="1:61" ht="15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7"/>
      <c r="O808" s="17"/>
      <c r="P808" s="15"/>
      <c r="Q808" s="15"/>
      <c r="R808" s="15"/>
      <c r="S808" s="15"/>
      <c r="T808" s="15"/>
      <c r="U808" s="15"/>
      <c r="V808" s="17"/>
      <c r="W808" s="17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  <c r="AL808" s="15"/>
      <c r="AM808" s="15"/>
      <c r="AN808" s="15"/>
      <c r="AO808" s="15"/>
      <c r="AP808" s="15"/>
      <c r="AQ808" s="15"/>
      <c r="AR808" s="15"/>
      <c r="AS808" s="15"/>
      <c r="AT808" s="15"/>
      <c r="AU808" s="15"/>
      <c r="AV808" s="15"/>
      <c r="AW808" s="15"/>
      <c r="AX808" s="15"/>
      <c r="AY808" s="15"/>
      <c r="AZ808" s="15"/>
      <c r="BA808" s="15"/>
      <c r="BB808" s="15"/>
      <c r="BC808" s="15"/>
      <c r="BD808" s="15"/>
      <c r="BE808" s="15"/>
      <c r="BF808" s="15"/>
      <c r="BG808" s="15"/>
      <c r="BH808" s="15"/>
      <c r="BI808" s="15"/>
    </row>
    <row r="809" spans="1:61" ht="15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7"/>
      <c r="O809" s="17"/>
      <c r="P809" s="15"/>
      <c r="Q809" s="15"/>
      <c r="R809" s="15"/>
      <c r="S809" s="15"/>
      <c r="T809" s="15"/>
      <c r="U809" s="15"/>
      <c r="V809" s="17"/>
      <c r="W809" s="17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  <c r="AL809" s="15"/>
      <c r="AM809" s="15"/>
      <c r="AN809" s="15"/>
      <c r="AO809" s="15"/>
      <c r="AP809" s="15"/>
      <c r="AQ809" s="15"/>
      <c r="AR809" s="15"/>
      <c r="AS809" s="15"/>
      <c r="AT809" s="15"/>
      <c r="AU809" s="15"/>
      <c r="AV809" s="15"/>
      <c r="AW809" s="15"/>
      <c r="AX809" s="15"/>
      <c r="AY809" s="15"/>
      <c r="AZ809" s="15"/>
      <c r="BA809" s="15"/>
      <c r="BB809" s="15"/>
      <c r="BC809" s="15"/>
      <c r="BD809" s="15"/>
      <c r="BE809" s="15"/>
      <c r="BF809" s="15"/>
      <c r="BG809" s="15"/>
      <c r="BH809" s="15"/>
      <c r="BI809" s="15"/>
    </row>
    <row r="810" spans="1:61" ht="15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7"/>
      <c r="O810" s="17"/>
      <c r="P810" s="15"/>
      <c r="Q810" s="15"/>
      <c r="R810" s="15"/>
      <c r="S810" s="15"/>
      <c r="T810" s="15"/>
      <c r="U810" s="15"/>
      <c r="V810" s="17"/>
      <c r="W810" s="17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  <c r="AL810" s="15"/>
      <c r="AM810" s="15"/>
      <c r="AN810" s="15"/>
      <c r="AO810" s="15"/>
      <c r="AP810" s="15"/>
      <c r="AQ810" s="15"/>
      <c r="AR810" s="15"/>
      <c r="AS810" s="15"/>
      <c r="AT810" s="15"/>
      <c r="AU810" s="15"/>
      <c r="AV810" s="15"/>
      <c r="AW810" s="15"/>
      <c r="AX810" s="15"/>
      <c r="AY810" s="15"/>
      <c r="AZ810" s="15"/>
      <c r="BA810" s="15"/>
      <c r="BB810" s="15"/>
      <c r="BC810" s="15"/>
      <c r="BD810" s="15"/>
      <c r="BE810" s="15"/>
      <c r="BF810" s="15"/>
      <c r="BG810" s="15"/>
      <c r="BH810" s="15"/>
      <c r="BI810" s="15"/>
    </row>
    <row r="811" spans="1:61" ht="15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7"/>
      <c r="O811" s="17"/>
      <c r="P811" s="15"/>
      <c r="Q811" s="15"/>
      <c r="R811" s="15"/>
      <c r="S811" s="15"/>
      <c r="T811" s="15"/>
      <c r="U811" s="15"/>
      <c r="V811" s="17"/>
      <c r="W811" s="17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  <c r="AL811" s="15"/>
      <c r="AM811" s="15"/>
      <c r="AN811" s="15"/>
      <c r="AO811" s="15"/>
      <c r="AP811" s="15"/>
      <c r="AQ811" s="15"/>
      <c r="AR811" s="15"/>
      <c r="AS811" s="15"/>
      <c r="AT811" s="15"/>
      <c r="AU811" s="15"/>
      <c r="AV811" s="15"/>
      <c r="AW811" s="15"/>
      <c r="AX811" s="15"/>
      <c r="AY811" s="15"/>
      <c r="AZ811" s="15"/>
      <c r="BA811" s="15"/>
      <c r="BB811" s="15"/>
      <c r="BC811" s="15"/>
      <c r="BD811" s="15"/>
      <c r="BE811" s="15"/>
      <c r="BF811" s="15"/>
      <c r="BG811" s="15"/>
      <c r="BH811" s="15"/>
      <c r="BI811" s="15"/>
    </row>
    <row r="812" spans="1:61" ht="15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7"/>
      <c r="O812" s="17"/>
      <c r="P812" s="15"/>
      <c r="Q812" s="15"/>
      <c r="R812" s="15"/>
      <c r="S812" s="15"/>
      <c r="T812" s="15"/>
      <c r="U812" s="15"/>
      <c r="V812" s="17"/>
      <c r="W812" s="17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  <c r="AL812" s="15"/>
      <c r="AM812" s="15"/>
      <c r="AN812" s="15"/>
      <c r="AO812" s="15"/>
      <c r="AP812" s="15"/>
      <c r="AQ812" s="15"/>
      <c r="AR812" s="15"/>
      <c r="AS812" s="15"/>
      <c r="AT812" s="15"/>
      <c r="AU812" s="15"/>
      <c r="AV812" s="15"/>
      <c r="AW812" s="15"/>
      <c r="AX812" s="15"/>
      <c r="AY812" s="15"/>
      <c r="AZ812" s="15"/>
      <c r="BA812" s="15"/>
      <c r="BB812" s="15"/>
      <c r="BC812" s="15"/>
      <c r="BD812" s="15"/>
      <c r="BE812" s="15"/>
      <c r="BF812" s="15"/>
      <c r="BG812" s="15"/>
      <c r="BH812" s="15"/>
      <c r="BI812" s="15"/>
    </row>
    <row r="813" spans="1:61" ht="15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7"/>
      <c r="O813" s="17"/>
      <c r="P813" s="15"/>
      <c r="Q813" s="15"/>
      <c r="R813" s="15"/>
      <c r="S813" s="15"/>
      <c r="T813" s="15"/>
      <c r="U813" s="15"/>
      <c r="V813" s="17"/>
      <c r="W813" s="17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  <c r="AL813" s="15"/>
      <c r="AM813" s="15"/>
      <c r="AN813" s="15"/>
      <c r="AO813" s="15"/>
      <c r="AP813" s="15"/>
      <c r="AQ813" s="15"/>
      <c r="AR813" s="15"/>
      <c r="AS813" s="15"/>
      <c r="AT813" s="15"/>
      <c r="AU813" s="15"/>
      <c r="AV813" s="15"/>
      <c r="AW813" s="15"/>
      <c r="AX813" s="15"/>
      <c r="AY813" s="15"/>
      <c r="AZ813" s="15"/>
      <c r="BA813" s="15"/>
      <c r="BB813" s="15"/>
      <c r="BC813" s="15"/>
      <c r="BD813" s="15"/>
      <c r="BE813" s="15"/>
      <c r="BF813" s="15"/>
      <c r="BG813" s="15"/>
      <c r="BH813" s="15"/>
      <c r="BI813" s="15"/>
    </row>
    <row r="814" spans="1:61" ht="15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7"/>
      <c r="O814" s="17"/>
      <c r="P814" s="15"/>
      <c r="Q814" s="15"/>
      <c r="R814" s="15"/>
      <c r="S814" s="15"/>
      <c r="T814" s="15"/>
      <c r="U814" s="15"/>
      <c r="V814" s="17"/>
      <c r="W814" s="17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  <c r="AL814" s="15"/>
      <c r="AM814" s="15"/>
      <c r="AN814" s="15"/>
      <c r="AO814" s="15"/>
      <c r="AP814" s="15"/>
      <c r="AQ814" s="15"/>
      <c r="AR814" s="15"/>
      <c r="AS814" s="15"/>
      <c r="AT814" s="15"/>
      <c r="AU814" s="15"/>
      <c r="AV814" s="15"/>
      <c r="AW814" s="15"/>
      <c r="AX814" s="15"/>
      <c r="AY814" s="15"/>
      <c r="AZ814" s="15"/>
      <c r="BA814" s="15"/>
      <c r="BB814" s="15"/>
      <c r="BC814" s="15"/>
      <c r="BD814" s="15"/>
      <c r="BE814" s="15"/>
      <c r="BF814" s="15"/>
      <c r="BG814" s="15"/>
      <c r="BH814" s="15"/>
      <c r="BI814" s="15"/>
    </row>
    <row r="815" spans="1:61" ht="15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7"/>
      <c r="O815" s="17"/>
      <c r="P815" s="15"/>
      <c r="Q815" s="15"/>
      <c r="R815" s="15"/>
      <c r="S815" s="15"/>
      <c r="T815" s="15"/>
      <c r="U815" s="15"/>
      <c r="V815" s="17"/>
      <c r="W815" s="17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  <c r="AL815" s="15"/>
      <c r="AM815" s="15"/>
      <c r="AN815" s="15"/>
      <c r="AO815" s="15"/>
      <c r="AP815" s="15"/>
      <c r="AQ815" s="15"/>
      <c r="AR815" s="15"/>
      <c r="AS815" s="15"/>
      <c r="AT815" s="15"/>
      <c r="AU815" s="15"/>
      <c r="AV815" s="15"/>
      <c r="AW815" s="15"/>
      <c r="AX815" s="15"/>
      <c r="AY815" s="15"/>
      <c r="AZ815" s="15"/>
      <c r="BA815" s="15"/>
      <c r="BB815" s="15"/>
      <c r="BC815" s="15"/>
      <c r="BD815" s="15"/>
      <c r="BE815" s="15"/>
      <c r="BF815" s="15"/>
      <c r="BG815" s="15"/>
      <c r="BH815" s="15"/>
      <c r="BI815" s="15"/>
    </row>
    <row r="816" spans="1:61" ht="15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7"/>
      <c r="O816" s="17"/>
      <c r="P816" s="15"/>
      <c r="Q816" s="15"/>
      <c r="R816" s="15"/>
      <c r="S816" s="15"/>
      <c r="T816" s="15"/>
      <c r="U816" s="15"/>
      <c r="V816" s="17"/>
      <c r="W816" s="17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  <c r="AL816" s="15"/>
      <c r="AM816" s="15"/>
      <c r="AN816" s="15"/>
      <c r="AO816" s="15"/>
      <c r="AP816" s="15"/>
      <c r="AQ816" s="15"/>
      <c r="AR816" s="15"/>
      <c r="AS816" s="15"/>
      <c r="AT816" s="15"/>
      <c r="AU816" s="15"/>
      <c r="AV816" s="15"/>
      <c r="AW816" s="15"/>
      <c r="AX816" s="15"/>
      <c r="AY816" s="15"/>
      <c r="AZ816" s="15"/>
      <c r="BA816" s="15"/>
      <c r="BB816" s="15"/>
      <c r="BC816" s="15"/>
      <c r="BD816" s="15"/>
      <c r="BE816" s="15"/>
      <c r="BF816" s="15"/>
      <c r="BG816" s="15"/>
      <c r="BH816" s="15"/>
      <c r="BI816" s="15"/>
    </row>
    <row r="817" spans="1:61" ht="15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7"/>
      <c r="O817" s="17"/>
      <c r="P817" s="15"/>
      <c r="Q817" s="15"/>
      <c r="R817" s="15"/>
      <c r="S817" s="15"/>
      <c r="T817" s="15"/>
      <c r="U817" s="15"/>
      <c r="V817" s="17"/>
      <c r="W817" s="17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  <c r="AL817" s="15"/>
      <c r="AM817" s="15"/>
      <c r="AN817" s="15"/>
      <c r="AO817" s="15"/>
      <c r="AP817" s="15"/>
      <c r="AQ817" s="15"/>
      <c r="AR817" s="15"/>
      <c r="AS817" s="15"/>
      <c r="AT817" s="15"/>
      <c r="AU817" s="15"/>
      <c r="AV817" s="15"/>
      <c r="AW817" s="15"/>
      <c r="AX817" s="15"/>
      <c r="AY817" s="15"/>
      <c r="AZ817" s="15"/>
      <c r="BA817" s="15"/>
      <c r="BB817" s="15"/>
      <c r="BC817" s="15"/>
      <c r="BD817" s="15"/>
      <c r="BE817" s="15"/>
      <c r="BF817" s="15"/>
      <c r="BG817" s="15"/>
      <c r="BH817" s="15"/>
      <c r="BI817" s="15"/>
    </row>
    <row r="818" spans="1:61" ht="15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7"/>
      <c r="O818" s="17"/>
      <c r="P818" s="15"/>
      <c r="Q818" s="15"/>
      <c r="R818" s="15"/>
      <c r="S818" s="15"/>
      <c r="T818" s="15"/>
      <c r="U818" s="15"/>
      <c r="V818" s="17"/>
      <c r="W818" s="17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  <c r="AL818" s="15"/>
      <c r="AM818" s="15"/>
      <c r="AN818" s="15"/>
      <c r="AO818" s="15"/>
      <c r="AP818" s="15"/>
      <c r="AQ818" s="15"/>
      <c r="AR818" s="15"/>
      <c r="AS818" s="15"/>
      <c r="AT818" s="15"/>
      <c r="AU818" s="15"/>
      <c r="AV818" s="15"/>
      <c r="AW818" s="15"/>
      <c r="AX818" s="15"/>
      <c r="AY818" s="15"/>
      <c r="AZ818" s="15"/>
      <c r="BA818" s="15"/>
      <c r="BB818" s="15"/>
      <c r="BC818" s="15"/>
      <c r="BD818" s="15"/>
      <c r="BE818" s="15"/>
      <c r="BF818" s="15"/>
      <c r="BG818" s="15"/>
      <c r="BH818" s="15"/>
      <c r="BI818" s="15"/>
    </row>
    <row r="819" spans="1:61" ht="15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7"/>
      <c r="O819" s="17"/>
      <c r="P819" s="15"/>
      <c r="Q819" s="15"/>
      <c r="R819" s="15"/>
      <c r="S819" s="15"/>
      <c r="T819" s="15"/>
      <c r="U819" s="15"/>
      <c r="V819" s="17"/>
      <c r="W819" s="17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  <c r="AL819" s="15"/>
      <c r="AM819" s="15"/>
      <c r="AN819" s="15"/>
      <c r="AO819" s="15"/>
      <c r="AP819" s="15"/>
      <c r="AQ819" s="15"/>
      <c r="AR819" s="15"/>
      <c r="AS819" s="15"/>
      <c r="AT819" s="15"/>
      <c r="AU819" s="15"/>
      <c r="AV819" s="15"/>
      <c r="AW819" s="15"/>
      <c r="AX819" s="15"/>
      <c r="AY819" s="15"/>
      <c r="AZ819" s="15"/>
      <c r="BA819" s="15"/>
      <c r="BB819" s="15"/>
      <c r="BC819" s="15"/>
      <c r="BD819" s="15"/>
      <c r="BE819" s="15"/>
      <c r="BF819" s="15"/>
      <c r="BG819" s="15"/>
      <c r="BH819" s="15"/>
      <c r="BI819" s="15"/>
    </row>
    <row r="820" spans="1:61" ht="15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7"/>
      <c r="O820" s="17"/>
      <c r="P820" s="15"/>
      <c r="Q820" s="15"/>
      <c r="R820" s="15"/>
      <c r="S820" s="15"/>
      <c r="T820" s="15"/>
      <c r="U820" s="15"/>
      <c r="V820" s="17"/>
      <c r="W820" s="17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  <c r="AL820" s="15"/>
      <c r="AM820" s="15"/>
      <c r="AN820" s="15"/>
      <c r="AO820" s="15"/>
      <c r="AP820" s="15"/>
      <c r="AQ820" s="15"/>
      <c r="AR820" s="15"/>
      <c r="AS820" s="15"/>
      <c r="AT820" s="15"/>
      <c r="AU820" s="15"/>
      <c r="AV820" s="15"/>
      <c r="AW820" s="15"/>
      <c r="AX820" s="15"/>
      <c r="AY820" s="15"/>
      <c r="AZ820" s="15"/>
      <c r="BA820" s="15"/>
      <c r="BB820" s="15"/>
      <c r="BC820" s="15"/>
      <c r="BD820" s="15"/>
      <c r="BE820" s="15"/>
      <c r="BF820" s="15"/>
      <c r="BG820" s="15"/>
      <c r="BH820" s="15"/>
      <c r="BI820" s="15"/>
    </row>
    <row r="821" spans="1:61" ht="15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7"/>
      <c r="O821" s="17"/>
      <c r="P821" s="15"/>
      <c r="Q821" s="15"/>
      <c r="R821" s="15"/>
      <c r="S821" s="15"/>
      <c r="T821" s="15"/>
      <c r="U821" s="15"/>
      <c r="V821" s="17"/>
      <c r="W821" s="17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  <c r="AL821" s="15"/>
      <c r="AM821" s="15"/>
      <c r="AN821" s="15"/>
      <c r="AO821" s="15"/>
      <c r="AP821" s="15"/>
      <c r="AQ821" s="15"/>
      <c r="AR821" s="15"/>
      <c r="AS821" s="15"/>
      <c r="AT821" s="15"/>
      <c r="AU821" s="15"/>
      <c r="AV821" s="15"/>
      <c r="AW821" s="15"/>
      <c r="AX821" s="15"/>
      <c r="AY821" s="15"/>
      <c r="AZ821" s="15"/>
      <c r="BA821" s="15"/>
      <c r="BB821" s="15"/>
      <c r="BC821" s="15"/>
      <c r="BD821" s="15"/>
      <c r="BE821" s="15"/>
      <c r="BF821" s="15"/>
      <c r="BG821" s="15"/>
      <c r="BH821" s="15"/>
      <c r="BI821" s="15"/>
    </row>
    <row r="822" spans="1:61" ht="15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7"/>
      <c r="O822" s="17"/>
      <c r="P822" s="15"/>
      <c r="Q822" s="15"/>
      <c r="R822" s="15"/>
      <c r="S822" s="15"/>
      <c r="T822" s="15"/>
      <c r="U822" s="15"/>
      <c r="V822" s="17"/>
      <c r="W822" s="17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  <c r="AL822" s="15"/>
      <c r="AM822" s="15"/>
      <c r="AN822" s="15"/>
      <c r="AO822" s="15"/>
      <c r="AP822" s="15"/>
      <c r="AQ822" s="15"/>
      <c r="AR822" s="15"/>
      <c r="AS822" s="15"/>
      <c r="AT822" s="15"/>
      <c r="AU822" s="15"/>
      <c r="AV822" s="15"/>
      <c r="AW822" s="15"/>
      <c r="AX822" s="15"/>
      <c r="AY822" s="15"/>
      <c r="AZ822" s="15"/>
      <c r="BA822" s="15"/>
      <c r="BB822" s="15"/>
      <c r="BC822" s="15"/>
      <c r="BD822" s="15"/>
      <c r="BE822" s="15"/>
      <c r="BF822" s="15"/>
      <c r="BG822" s="15"/>
      <c r="BH822" s="15"/>
      <c r="BI822" s="15"/>
    </row>
    <row r="823" spans="1:61" ht="15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7"/>
      <c r="O823" s="17"/>
      <c r="P823" s="15"/>
      <c r="Q823" s="15"/>
      <c r="R823" s="15"/>
      <c r="S823" s="15"/>
      <c r="T823" s="15"/>
      <c r="U823" s="15"/>
      <c r="V823" s="17"/>
      <c r="W823" s="17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  <c r="AL823" s="15"/>
      <c r="AM823" s="15"/>
      <c r="AN823" s="15"/>
      <c r="AO823" s="15"/>
      <c r="AP823" s="15"/>
      <c r="AQ823" s="15"/>
      <c r="AR823" s="15"/>
      <c r="AS823" s="15"/>
      <c r="AT823" s="15"/>
      <c r="AU823" s="15"/>
      <c r="AV823" s="15"/>
      <c r="AW823" s="15"/>
      <c r="AX823" s="15"/>
      <c r="AY823" s="15"/>
      <c r="AZ823" s="15"/>
      <c r="BA823" s="15"/>
      <c r="BB823" s="15"/>
      <c r="BC823" s="15"/>
      <c r="BD823" s="15"/>
      <c r="BE823" s="15"/>
      <c r="BF823" s="15"/>
      <c r="BG823" s="15"/>
      <c r="BH823" s="15"/>
      <c r="BI823" s="15"/>
    </row>
    <row r="824" spans="1:61" ht="15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7"/>
      <c r="O824" s="17"/>
      <c r="P824" s="15"/>
      <c r="Q824" s="15"/>
      <c r="R824" s="15"/>
      <c r="S824" s="15"/>
      <c r="T824" s="15"/>
      <c r="U824" s="15"/>
      <c r="V824" s="17"/>
      <c r="W824" s="17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  <c r="AL824" s="15"/>
      <c r="AM824" s="15"/>
      <c r="AN824" s="15"/>
      <c r="AO824" s="15"/>
      <c r="AP824" s="15"/>
      <c r="AQ824" s="15"/>
      <c r="AR824" s="15"/>
      <c r="AS824" s="15"/>
      <c r="AT824" s="15"/>
      <c r="AU824" s="15"/>
      <c r="AV824" s="15"/>
      <c r="AW824" s="15"/>
      <c r="AX824" s="15"/>
      <c r="AY824" s="15"/>
      <c r="AZ824" s="15"/>
      <c r="BA824" s="15"/>
      <c r="BB824" s="15"/>
      <c r="BC824" s="15"/>
      <c r="BD824" s="15"/>
      <c r="BE824" s="15"/>
      <c r="BF824" s="15"/>
      <c r="BG824" s="15"/>
      <c r="BH824" s="15"/>
      <c r="BI824" s="15"/>
    </row>
    <row r="825" spans="1:61" ht="15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7"/>
      <c r="O825" s="17"/>
      <c r="P825" s="15"/>
      <c r="Q825" s="15"/>
      <c r="R825" s="15"/>
      <c r="S825" s="15"/>
      <c r="T825" s="15"/>
      <c r="U825" s="15"/>
      <c r="V825" s="17"/>
      <c r="W825" s="17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  <c r="AL825" s="15"/>
      <c r="AM825" s="15"/>
      <c r="AN825" s="15"/>
      <c r="AO825" s="15"/>
      <c r="AP825" s="15"/>
      <c r="AQ825" s="15"/>
      <c r="AR825" s="15"/>
      <c r="AS825" s="15"/>
      <c r="AT825" s="15"/>
      <c r="AU825" s="15"/>
      <c r="AV825" s="15"/>
      <c r="AW825" s="15"/>
      <c r="AX825" s="15"/>
      <c r="AY825" s="15"/>
      <c r="AZ825" s="15"/>
      <c r="BA825" s="15"/>
      <c r="BB825" s="15"/>
      <c r="BC825" s="15"/>
      <c r="BD825" s="15"/>
      <c r="BE825" s="15"/>
      <c r="BF825" s="15"/>
      <c r="BG825" s="15"/>
      <c r="BH825" s="15"/>
      <c r="BI825" s="15"/>
    </row>
    <row r="826" spans="1:61" ht="15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7"/>
      <c r="O826" s="17"/>
      <c r="P826" s="15"/>
      <c r="Q826" s="15"/>
      <c r="R826" s="15"/>
      <c r="S826" s="15"/>
      <c r="T826" s="15"/>
      <c r="U826" s="15"/>
      <c r="V826" s="17"/>
      <c r="W826" s="17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  <c r="AL826" s="15"/>
      <c r="AM826" s="15"/>
      <c r="AN826" s="15"/>
      <c r="AO826" s="15"/>
      <c r="AP826" s="15"/>
      <c r="AQ826" s="15"/>
      <c r="AR826" s="15"/>
      <c r="AS826" s="15"/>
      <c r="AT826" s="15"/>
      <c r="AU826" s="15"/>
      <c r="AV826" s="15"/>
      <c r="AW826" s="15"/>
      <c r="AX826" s="15"/>
      <c r="AY826" s="15"/>
      <c r="AZ826" s="15"/>
      <c r="BA826" s="15"/>
      <c r="BB826" s="15"/>
      <c r="BC826" s="15"/>
      <c r="BD826" s="15"/>
      <c r="BE826" s="15"/>
      <c r="BF826" s="15"/>
      <c r="BG826" s="15"/>
      <c r="BH826" s="15"/>
      <c r="BI826" s="15"/>
    </row>
    <row r="827" spans="1:61" ht="15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7"/>
      <c r="O827" s="17"/>
      <c r="P827" s="15"/>
      <c r="Q827" s="15"/>
      <c r="R827" s="15"/>
      <c r="S827" s="15"/>
      <c r="T827" s="15"/>
      <c r="U827" s="15"/>
      <c r="V827" s="17"/>
      <c r="W827" s="17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  <c r="AL827" s="15"/>
      <c r="AM827" s="15"/>
      <c r="AN827" s="15"/>
      <c r="AO827" s="15"/>
      <c r="AP827" s="15"/>
      <c r="AQ827" s="15"/>
      <c r="AR827" s="15"/>
      <c r="AS827" s="15"/>
      <c r="AT827" s="15"/>
      <c r="AU827" s="15"/>
      <c r="AV827" s="15"/>
      <c r="AW827" s="15"/>
      <c r="AX827" s="15"/>
      <c r="AY827" s="15"/>
      <c r="AZ827" s="15"/>
      <c r="BA827" s="15"/>
      <c r="BB827" s="15"/>
      <c r="BC827" s="15"/>
      <c r="BD827" s="15"/>
      <c r="BE827" s="15"/>
      <c r="BF827" s="15"/>
      <c r="BG827" s="15"/>
      <c r="BH827" s="15"/>
      <c r="BI827" s="15"/>
    </row>
    <row r="828" spans="1:61" ht="15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7"/>
      <c r="O828" s="17"/>
      <c r="P828" s="15"/>
      <c r="Q828" s="15"/>
      <c r="R828" s="15"/>
      <c r="S828" s="15"/>
      <c r="T828" s="15"/>
      <c r="U828" s="15"/>
      <c r="V828" s="17"/>
      <c r="W828" s="17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  <c r="AL828" s="15"/>
      <c r="AM828" s="15"/>
      <c r="AN828" s="15"/>
      <c r="AO828" s="15"/>
      <c r="AP828" s="15"/>
      <c r="AQ828" s="15"/>
      <c r="AR828" s="15"/>
      <c r="AS828" s="15"/>
      <c r="AT828" s="15"/>
      <c r="AU828" s="15"/>
      <c r="AV828" s="15"/>
      <c r="AW828" s="15"/>
      <c r="AX828" s="15"/>
      <c r="AY828" s="15"/>
      <c r="AZ828" s="15"/>
      <c r="BA828" s="15"/>
      <c r="BB828" s="15"/>
      <c r="BC828" s="15"/>
      <c r="BD828" s="15"/>
      <c r="BE828" s="15"/>
      <c r="BF828" s="15"/>
      <c r="BG828" s="15"/>
      <c r="BH828" s="15"/>
      <c r="BI828" s="15"/>
    </row>
    <row r="829" spans="1:61" ht="15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7"/>
      <c r="O829" s="17"/>
      <c r="P829" s="15"/>
      <c r="Q829" s="15"/>
      <c r="R829" s="15"/>
      <c r="S829" s="15"/>
      <c r="T829" s="15"/>
      <c r="U829" s="15"/>
      <c r="V829" s="17"/>
      <c r="W829" s="17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  <c r="AL829" s="15"/>
      <c r="AM829" s="15"/>
      <c r="AN829" s="15"/>
      <c r="AO829" s="15"/>
      <c r="AP829" s="15"/>
      <c r="AQ829" s="15"/>
      <c r="AR829" s="15"/>
      <c r="AS829" s="15"/>
      <c r="AT829" s="15"/>
      <c r="AU829" s="15"/>
      <c r="AV829" s="15"/>
      <c r="AW829" s="15"/>
      <c r="AX829" s="15"/>
      <c r="AY829" s="15"/>
      <c r="AZ829" s="15"/>
      <c r="BA829" s="15"/>
      <c r="BB829" s="15"/>
      <c r="BC829" s="15"/>
      <c r="BD829" s="15"/>
      <c r="BE829" s="15"/>
      <c r="BF829" s="15"/>
      <c r="BG829" s="15"/>
      <c r="BH829" s="15"/>
      <c r="BI829" s="15"/>
    </row>
    <row r="830" spans="1:61" ht="15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7"/>
      <c r="O830" s="17"/>
      <c r="P830" s="15"/>
      <c r="Q830" s="15"/>
      <c r="R830" s="15"/>
      <c r="S830" s="15"/>
      <c r="T830" s="15"/>
      <c r="U830" s="15"/>
      <c r="V830" s="17"/>
      <c r="W830" s="17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  <c r="AL830" s="15"/>
      <c r="AM830" s="15"/>
      <c r="AN830" s="15"/>
      <c r="AO830" s="15"/>
      <c r="AP830" s="15"/>
      <c r="AQ830" s="15"/>
      <c r="AR830" s="15"/>
      <c r="AS830" s="15"/>
      <c r="AT830" s="15"/>
      <c r="AU830" s="15"/>
      <c r="AV830" s="15"/>
      <c r="AW830" s="15"/>
      <c r="AX830" s="15"/>
      <c r="AY830" s="15"/>
      <c r="AZ830" s="15"/>
      <c r="BA830" s="15"/>
      <c r="BB830" s="15"/>
      <c r="BC830" s="15"/>
      <c r="BD830" s="15"/>
      <c r="BE830" s="15"/>
      <c r="BF830" s="15"/>
      <c r="BG830" s="15"/>
      <c r="BH830" s="15"/>
      <c r="BI830" s="15"/>
    </row>
    <row r="831" spans="1:61" ht="15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7"/>
      <c r="O831" s="17"/>
      <c r="P831" s="15"/>
      <c r="Q831" s="15"/>
      <c r="R831" s="15"/>
      <c r="S831" s="15"/>
      <c r="T831" s="15"/>
      <c r="U831" s="15"/>
      <c r="V831" s="17"/>
      <c r="W831" s="17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  <c r="AL831" s="15"/>
      <c r="AM831" s="15"/>
      <c r="AN831" s="15"/>
      <c r="AO831" s="15"/>
      <c r="AP831" s="15"/>
      <c r="AQ831" s="15"/>
      <c r="AR831" s="15"/>
      <c r="AS831" s="15"/>
      <c r="AT831" s="15"/>
      <c r="AU831" s="15"/>
      <c r="AV831" s="15"/>
      <c r="AW831" s="15"/>
      <c r="AX831" s="15"/>
      <c r="AY831" s="15"/>
      <c r="AZ831" s="15"/>
      <c r="BA831" s="15"/>
      <c r="BB831" s="15"/>
      <c r="BC831" s="15"/>
      <c r="BD831" s="15"/>
      <c r="BE831" s="15"/>
      <c r="BF831" s="15"/>
      <c r="BG831" s="15"/>
      <c r="BH831" s="15"/>
      <c r="BI831" s="15"/>
    </row>
    <row r="832" spans="1:61" ht="15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7"/>
      <c r="O832" s="17"/>
      <c r="P832" s="15"/>
      <c r="Q832" s="15"/>
      <c r="R832" s="15"/>
      <c r="S832" s="15"/>
      <c r="T832" s="15"/>
      <c r="U832" s="15"/>
      <c r="V832" s="17"/>
      <c r="W832" s="17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  <c r="AL832" s="15"/>
      <c r="AM832" s="15"/>
      <c r="AN832" s="15"/>
      <c r="AO832" s="15"/>
      <c r="AP832" s="15"/>
      <c r="AQ832" s="15"/>
      <c r="AR832" s="15"/>
      <c r="AS832" s="15"/>
      <c r="AT832" s="15"/>
      <c r="AU832" s="15"/>
      <c r="AV832" s="15"/>
      <c r="AW832" s="15"/>
      <c r="AX832" s="15"/>
      <c r="AY832" s="15"/>
      <c r="AZ832" s="15"/>
      <c r="BA832" s="15"/>
      <c r="BB832" s="15"/>
      <c r="BC832" s="15"/>
      <c r="BD832" s="15"/>
      <c r="BE832" s="15"/>
      <c r="BF832" s="15"/>
      <c r="BG832" s="15"/>
      <c r="BH832" s="15"/>
      <c r="BI832" s="15"/>
    </row>
    <row r="833" spans="1:61" ht="15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7"/>
      <c r="O833" s="17"/>
      <c r="P833" s="15"/>
      <c r="Q833" s="15"/>
      <c r="R833" s="15"/>
      <c r="S833" s="15"/>
      <c r="T833" s="15"/>
      <c r="U833" s="15"/>
      <c r="V833" s="17"/>
      <c r="W833" s="17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  <c r="AL833" s="15"/>
      <c r="AM833" s="15"/>
      <c r="AN833" s="15"/>
      <c r="AO833" s="15"/>
      <c r="AP833" s="15"/>
      <c r="AQ833" s="15"/>
      <c r="AR833" s="15"/>
      <c r="AS833" s="15"/>
      <c r="AT833" s="15"/>
      <c r="AU833" s="15"/>
      <c r="AV833" s="15"/>
      <c r="AW833" s="15"/>
      <c r="AX833" s="15"/>
      <c r="AY833" s="15"/>
      <c r="AZ833" s="15"/>
      <c r="BA833" s="15"/>
      <c r="BB833" s="15"/>
      <c r="BC833" s="15"/>
      <c r="BD833" s="15"/>
      <c r="BE833" s="15"/>
      <c r="BF833" s="15"/>
      <c r="BG833" s="15"/>
      <c r="BH833" s="15"/>
      <c r="BI833" s="15"/>
    </row>
    <row r="834" spans="1:61" ht="15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7"/>
      <c r="O834" s="17"/>
      <c r="P834" s="15"/>
      <c r="Q834" s="15"/>
      <c r="R834" s="15"/>
      <c r="S834" s="15"/>
      <c r="T834" s="15"/>
      <c r="U834" s="15"/>
      <c r="V834" s="17"/>
      <c r="W834" s="17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  <c r="AL834" s="15"/>
      <c r="AM834" s="15"/>
      <c r="AN834" s="15"/>
      <c r="AO834" s="15"/>
      <c r="AP834" s="15"/>
      <c r="AQ834" s="15"/>
      <c r="AR834" s="15"/>
      <c r="AS834" s="15"/>
      <c r="AT834" s="15"/>
      <c r="AU834" s="15"/>
      <c r="AV834" s="15"/>
      <c r="AW834" s="15"/>
      <c r="AX834" s="15"/>
      <c r="AY834" s="15"/>
      <c r="AZ834" s="15"/>
      <c r="BA834" s="15"/>
      <c r="BB834" s="15"/>
      <c r="BC834" s="15"/>
      <c r="BD834" s="15"/>
      <c r="BE834" s="15"/>
      <c r="BF834" s="15"/>
      <c r="BG834" s="15"/>
      <c r="BH834" s="15"/>
      <c r="BI834" s="15"/>
    </row>
    <row r="835" spans="1:61" ht="15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7"/>
      <c r="O835" s="17"/>
      <c r="P835" s="15"/>
      <c r="Q835" s="15"/>
      <c r="R835" s="15"/>
      <c r="S835" s="15"/>
      <c r="T835" s="15"/>
      <c r="U835" s="15"/>
      <c r="V835" s="17"/>
      <c r="W835" s="17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/>
      <c r="AM835" s="15"/>
      <c r="AN835" s="15"/>
      <c r="AO835" s="15"/>
      <c r="AP835" s="15"/>
      <c r="AQ835" s="15"/>
      <c r="AR835" s="15"/>
      <c r="AS835" s="15"/>
      <c r="AT835" s="15"/>
      <c r="AU835" s="15"/>
      <c r="AV835" s="15"/>
      <c r="AW835" s="15"/>
      <c r="AX835" s="15"/>
      <c r="AY835" s="15"/>
      <c r="AZ835" s="15"/>
      <c r="BA835" s="15"/>
      <c r="BB835" s="15"/>
      <c r="BC835" s="15"/>
      <c r="BD835" s="15"/>
      <c r="BE835" s="15"/>
      <c r="BF835" s="15"/>
      <c r="BG835" s="15"/>
      <c r="BH835" s="15"/>
      <c r="BI835" s="15"/>
    </row>
    <row r="836" spans="1:61" ht="15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7"/>
      <c r="O836" s="17"/>
      <c r="P836" s="15"/>
      <c r="Q836" s="15"/>
      <c r="R836" s="15"/>
      <c r="S836" s="15"/>
      <c r="T836" s="15"/>
      <c r="U836" s="15"/>
      <c r="V836" s="17"/>
      <c r="W836" s="17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  <c r="AL836" s="15"/>
      <c r="AM836" s="15"/>
      <c r="AN836" s="15"/>
      <c r="AO836" s="15"/>
      <c r="AP836" s="15"/>
      <c r="AQ836" s="15"/>
      <c r="AR836" s="15"/>
      <c r="AS836" s="15"/>
      <c r="AT836" s="15"/>
      <c r="AU836" s="15"/>
      <c r="AV836" s="15"/>
      <c r="AW836" s="15"/>
      <c r="AX836" s="15"/>
      <c r="AY836" s="15"/>
      <c r="AZ836" s="15"/>
      <c r="BA836" s="15"/>
      <c r="BB836" s="15"/>
      <c r="BC836" s="15"/>
      <c r="BD836" s="15"/>
      <c r="BE836" s="15"/>
      <c r="BF836" s="15"/>
      <c r="BG836" s="15"/>
      <c r="BH836" s="15"/>
      <c r="BI836" s="15"/>
    </row>
    <row r="837" spans="1:61" ht="15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7"/>
      <c r="O837" s="17"/>
      <c r="P837" s="15"/>
      <c r="Q837" s="15"/>
      <c r="R837" s="15"/>
      <c r="S837" s="15"/>
      <c r="T837" s="15"/>
      <c r="U837" s="15"/>
      <c r="V837" s="17"/>
      <c r="W837" s="17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  <c r="AL837" s="15"/>
      <c r="AM837" s="15"/>
      <c r="AN837" s="15"/>
      <c r="AO837" s="15"/>
      <c r="AP837" s="15"/>
      <c r="AQ837" s="15"/>
      <c r="AR837" s="15"/>
      <c r="AS837" s="15"/>
      <c r="AT837" s="15"/>
      <c r="AU837" s="15"/>
      <c r="AV837" s="15"/>
      <c r="AW837" s="15"/>
      <c r="AX837" s="15"/>
      <c r="AY837" s="15"/>
      <c r="AZ837" s="15"/>
      <c r="BA837" s="15"/>
      <c r="BB837" s="15"/>
      <c r="BC837" s="15"/>
      <c r="BD837" s="15"/>
      <c r="BE837" s="15"/>
      <c r="BF837" s="15"/>
      <c r="BG837" s="15"/>
      <c r="BH837" s="15"/>
      <c r="BI837" s="15"/>
    </row>
    <row r="838" spans="1:61" ht="15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7"/>
      <c r="O838" s="17"/>
      <c r="P838" s="15"/>
      <c r="Q838" s="15"/>
      <c r="R838" s="15"/>
      <c r="S838" s="15"/>
      <c r="T838" s="15"/>
      <c r="U838" s="15"/>
      <c r="V838" s="17"/>
      <c r="W838" s="17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  <c r="AL838" s="15"/>
      <c r="AM838" s="15"/>
      <c r="AN838" s="15"/>
      <c r="AO838" s="15"/>
      <c r="AP838" s="15"/>
      <c r="AQ838" s="15"/>
      <c r="AR838" s="15"/>
      <c r="AS838" s="15"/>
      <c r="AT838" s="15"/>
      <c r="AU838" s="15"/>
      <c r="AV838" s="15"/>
      <c r="AW838" s="15"/>
      <c r="AX838" s="15"/>
      <c r="AY838" s="15"/>
      <c r="AZ838" s="15"/>
      <c r="BA838" s="15"/>
      <c r="BB838" s="15"/>
      <c r="BC838" s="15"/>
      <c r="BD838" s="15"/>
      <c r="BE838" s="15"/>
      <c r="BF838" s="15"/>
      <c r="BG838" s="15"/>
      <c r="BH838" s="15"/>
      <c r="BI838" s="15"/>
    </row>
    <row r="839" spans="1:61" ht="15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7"/>
      <c r="O839" s="17"/>
      <c r="P839" s="15"/>
      <c r="Q839" s="15"/>
      <c r="R839" s="15"/>
      <c r="S839" s="15"/>
      <c r="T839" s="15"/>
      <c r="U839" s="15"/>
      <c r="V839" s="17"/>
      <c r="W839" s="17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  <c r="AL839" s="15"/>
      <c r="AM839" s="15"/>
      <c r="AN839" s="15"/>
      <c r="AO839" s="15"/>
      <c r="AP839" s="15"/>
      <c r="AQ839" s="15"/>
      <c r="AR839" s="15"/>
      <c r="AS839" s="15"/>
      <c r="AT839" s="15"/>
      <c r="AU839" s="15"/>
      <c r="AV839" s="15"/>
      <c r="AW839" s="15"/>
      <c r="AX839" s="15"/>
      <c r="AY839" s="15"/>
      <c r="AZ839" s="15"/>
      <c r="BA839" s="15"/>
      <c r="BB839" s="15"/>
      <c r="BC839" s="15"/>
      <c r="BD839" s="15"/>
      <c r="BE839" s="15"/>
      <c r="BF839" s="15"/>
      <c r="BG839" s="15"/>
      <c r="BH839" s="15"/>
      <c r="BI839" s="15"/>
    </row>
    <row r="840" spans="1:61" ht="15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7"/>
      <c r="O840" s="17"/>
      <c r="P840" s="15"/>
      <c r="Q840" s="15"/>
      <c r="R840" s="15"/>
      <c r="S840" s="15"/>
      <c r="T840" s="15"/>
      <c r="U840" s="15"/>
      <c r="V840" s="17"/>
      <c r="W840" s="17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  <c r="AL840" s="15"/>
      <c r="AM840" s="15"/>
      <c r="AN840" s="15"/>
      <c r="AO840" s="15"/>
      <c r="AP840" s="15"/>
      <c r="AQ840" s="15"/>
      <c r="AR840" s="15"/>
      <c r="AS840" s="15"/>
      <c r="AT840" s="15"/>
      <c r="AU840" s="15"/>
      <c r="AV840" s="15"/>
      <c r="AW840" s="15"/>
      <c r="AX840" s="15"/>
      <c r="AY840" s="15"/>
      <c r="AZ840" s="15"/>
      <c r="BA840" s="15"/>
      <c r="BB840" s="15"/>
      <c r="BC840" s="15"/>
      <c r="BD840" s="15"/>
      <c r="BE840" s="15"/>
      <c r="BF840" s="15"/>
      <c r="BG840" s="15"/>
      <c r="BH840" s="15"/>
      <c r="BI840" s="15"/>
    </row>
    <row r="841" spans="1:61" ht="15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7"/>
      <c r="O841" s="17"/>
      <c r="P841" s="15"/>
      <c r="Q841" s="15"/>
      <c r="R841" s="15"/>
      <c r="S841" s="15"/>
      <c r="T841" s="15"/>
      <c r="U841" s="15"/>
      <c r="V841" s="17"/>
      <c r="W841" s="17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  <c r="AM841" s="15"/>
      <c r="AN841" s="15"/>
      <c r="AO841" s="15"/>
      <c r="AP841" s="15"/>
      <c r="AQ841" s="15"/>
      <c r="AR841" s="15"/>
      <c r="AS841" s="15"/>
      <c r="AT841" s="15"/>
      <c r="AU841" s="15"/>
      <c r="AV841" s="15"/>
      <c r="AW841" s="15"/>
      <c r="AX841" s="15"/>
      <c r="AY841" s="15"/>
      <c r="AZ841" s="15"/>
      <c r="BA841" s="15"/>
      <c r="BB841" s="15"/>
      <c r="BC841" s="15"/>
      <c r="BD841" s="15"/>
      <c r="BE841" s="15"/>
      <c r="BF841" s="15"/>
      <c r="BG841" s="15"/>
      <c r="BH841" s="15"/>
      <c r="BI841" s="15"/>
    </row>
    <row r="842" spans="1:61" ht="15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7"/>
      <c r="O842" s="17"/>
      <c r="P842" s="15"/>
      <c r="Q842" s="15"/>
      <c r="R842" s="15"/>
      <c r="S842" s="15"/>
      <c r="T842" s="15"/>
      <c r="U842" s="15"/>
      <c r="V842" s="17"/>
      <c r="W842" s="17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  <c r="AL842" s="15"/>
      <c r="AM842" s="15"/>
      <c r="AN842" s="15"/>
      <c r="AO842" s="15"/>
      <c r="AP842" s="15"/>
      <c r="AQ842" s="15"/>
      <c r="AR842" s="15"/>
      <c r="AS842" s="15"/>
      <c r="AT842" s="15"/>
      <c r="AU842" s="15"/>
      <c r="AV842" s="15"/>
      <c r="AW842" s="15"/>
      <c r="AX842" s="15"/>
      <c r="AY842" s="15"/>
      <c r="AZ842" s="15"/>
      <c r="BA842" s="15"/>
      <c r="BB842" s="15"/>
      <c r="BC842" s="15"/>
      <c r="BD842" s="15"/>
      <c r="BE842" s="15"/>
      <c r="BF842" s="15"/>
      <c r="BG842" s="15"/>
      <c r="BH842" s="15"/>
      <c r="BI842" s="15"/>
    </row>
    <row r="843" spans="1:61" ht="15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7"/>
      <c r="O843" s="17"/>
      <c r="P843" s="15"/>
      <c r="Q843" s="15"/>
      <c r="R843" s="15"/>
      <c r="S843" s="15"/>
      <c r="T843" s="15"/>
      <c r="U843" s="15"/>
      <c r="V843" s="17"/>
      <c r="W843" s="17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  <c r="AM843" s="15"/>
      <c r="AN843" s="15"/>
      <c r="AO843" s="15"/>
      <c r="AP843" s="15"/>
      <c r="AQ843" s="15"/>
      <c r="AR843" s="15"/>
      <c r="AS843" s="15"/>
      <c r="AT843" s="15"/>
      <c r="AU843" s="15"/>
      <c r="AV843" s="15"/>
      <c r="AW843" s="15"/>
      <c r="AX843" s="15"/>
      <c r="AY843" s="15"/>
      <c r="AZ843" s="15"/>
      <c r="BA843" s="15"/>
      <c r="BB843" s="15"/>
      <c r="BC843" s="15"/>
      <c r="BD843" s="15"/>
      <c r="BE843" s="15"/>
      <c r="BF843" s="15"/>
      <c r="BG843" s="15"/>
      <c r="BH843" s="15"/>
      <c r="BI843" s="15"/>
    </row>
    <row r="844" spans="1:61" ht="15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7"/>
      <c r="O844" s="17"/>
      <c r="P844" s="15"/>
      <c r="Q844" s="15"/>
      <c r="R844" s="15"/>
      <c r="S844" s="15"/>
      <c r="T844" s="15"/>
      <c r="U844" s="15"/>
      <c r="V844" s="17"/>
      <c r="W844" s="17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  <c r="AL844" s="15"/>
      <c r="AM844" s="15"/>
      <c r="AN844" s="15"/>
      <c r="AO844" s="15"/>
      <c r="AP844" s="15"/>
      <c r="AQ844" s="15"/>
      <c r="AR844" s="15"/>
      <c r="AS844" s="15"/>
      <c r="AT844" s="15"/>
      <c r="AU844" s="15"/>
      <c r="AV844" s="15"/>
      <c r="AW844" s="15"/>
      <c r="AX844" s="15"/>
      <c r="AY844" s="15"/>
      <c r="AZ844" s="15"/>
      <c r="BA844" s="15"/>
      <c r="BB844" s="15"/>
      <c r="BC844" s="15"/>
      <c r="BD844" s="15"/>
      <c r="BE844" s="15"/>
      <c r="BF844" s="15"/>
      <c r="BG844" s="15"/>
      <c r="BH844" s="15"/>
      <c r="BI844" s="15"/>
    </row>
    <row r="845" spans="1:61" ht="15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7"/>
      <c r="O845" s="17"/>
      <c r="P845" s="15"/>
      <c r="Q845" s="15"/>
      <c r="R845" s="15"/>
      <c r="S845" s="15"/>
      <c r="T845" s="15"/>
      <c r="U845" s="15"/>
      <c r="V845" s="17"/>
      <c r="W845" s="17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  <c r="AM845" s="15"/>
      <c r="AN845" s="15"/>
      <c r="AO845" s="15"/>
      <c r="AP845" s="15"/>
      <c r="AQ845" s="15"/>
      <c r="AR845" s="15"/>
      <c r="AS845" s="15"/>
      <c r="AT845" s="15"/>
      <c r="AU845" s="15"/>
      <c r="AV845" s="15"/>
      <c r="AW845" s="15"/>
      <c r="AX845" s="15"/>
      <c r="AY845" s="15"/>
      <c r="AZ845" s="15"/>
      <c r="BA845" s="15"/>
      <c r="BB845" s="15"/>
      <c r="BC845" s="15"/>
      <c r="BD845" s="15"/>
      <c r="BE845" s="15"/>
      <c r="BF845" s="15"/>
      <c r="BG845" s="15"/>
      <c r="BH845" s="15"/>
      <c r="BI845" s="15"/>
    </row>
    <row r="846" spans="1:61" ht="15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7"/>
      <c r="O846" s="17"/>
      <c r="P846" s="15"/>
      <c r="Q846" s="15"/>
      <c r="R846" s="15"/>
      <c r="S846" s="15"/>
      <c r="T846" s="15"/>
      <c r="U846" s="15"/>
      <c r="V846" s="17"/>
      <c r="W846" s="17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  <c r="AL846" s="15"/>
      <c r="AM846" s="15"/>
      <c r="AN846" s="15"/>
      <c r="AO846" s="15"/>
      <c r="AP846" s="15"/>
      <c r="AQ846" s="15"/>
      <c r="AR846" s="15"/>
      <c r="AS846" s="15"/>
      <c r="AT846" s="15"/>
      <c r="AU846" s="15"/>
      <c r="AV846" s="15"/>
      <c r="AW846" s="15"/>
      <c r="AX846" s="15"/>
      <c r="AY846" s="15"/>
      <c r="AZ846" s="15"/>
      <c r="BA846" s="15"/>
      <c r="BB846" s="15"/>
      <c r="BC846" s="15"/>
      <c r="BD846" s="15"/>
      <c r="BE846" s="15"/>
      <c r="BF846" s="15"/>
      <c r="BG846" s="15"/>
      <c r="BH846" s="15"/>
      <c r="BI846" s="15"/>
    </row>
    <row r="847" spans="1:61" ht="15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7"/>
      <c r="O847" s="17"/>
      <c r="P847" s="15"/>
      <c r="Q847" s="15"/>
      <c r="R847" s="15"/>
      <c r="S847" s="15"/>
      <c r="T847" s="15"/>
      <c r="U847" s="15"/>
      <c r="V847" s="17"/>
      <c r="W847" s="17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  <c r="AM847" s="15"/>
      <c r="AN847" s="15"/>
      <c r="AO847" s="15"/>
      <c r="AP847" s="15"/>
      <c r="AQ847" s="15"/>
      <c r="AR847" s="15"/>
      <c r="AS847" s="15"/>
      <c r="AT847" s="15"/>
      <c r="AU847" s="15"/>
      <c r="AV847" s="15"/>
      <c r="AW847" s="15"/>
      <c r="AX847" s="15"/>
      <c r="AY847" s="15"/>
      <c r="AZ847" s="15"/>
      <c r="BA847" s="15"/>
      <c r="BB847" s="15"/>
      <c r="BC847" s="15"/>
      <c r="BD847" s="15"/>
      <c r="BE847" s="15"/>
      <c r="BF847" s="15"/>
      <c r="BG847" s="15"/>
      <c r="BH847" s="15"/>
      <c r="BI847" s="15"/>
    </row>
    <row r="848" spans="1:61" ht="15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7"/>
      <c r="O848" s="17"/>
      <c r="P848" s="15"/>
      <c r="Q848" s="15"/>
      <c r="R848" s="15"/>
      <c r="S848" s="15"/>
      <c r="T848" s="15"/>
      <c r="U848" s="15"/>
      <c r="V848" s="17"/>
      <c r="W848" s="17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  <c r="AL848" s="15"/>
      <c r="AM848" s="15"/>
      <c r="AN848" s="15"/>
      <c r="AO848" s="15"/>
      <c r="AP848" s="15"/>
      <c r="AQ848" s="15"/>
      <c r="AR848" s="15"/>
      <c r="AS848" s="15"/>
      <c r="AT848" s="15"/>
      <c r="AU848" s="15"/>
      <c r="AV848" s="15"/>
      <c r="AW848" s="15"/>
      <c r="AX848" s="15"/>
      <c r="AY848" s="15"/>
      <c r="AZ848" s="15"/>
      <c r="BA848" s="15"/>
      <c r="BB848" s="15"/>
      <c r="BC848" s="15"/>
      <c r="BD848" s="15"/>
      <c r="BE848" s="15"/>
      <c r="BF848" s="15"/>
      <c r="BG848" s="15"/>
      <c r="BH848" s="15"/>
      <c r="BI848" s="15"/>
    </row>
    <row r="849" spans="1:61" ht="15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7"/>
      <c r="O849" s="17"/>
      <c r="P849" s="15"/>
      <c r="Q849" s="15"/>
      <c r="R849" s="15"/>
      <c r="S849" s="15"/>
      <c r="T849" s="15"/>
      <c r="U849" s="15"/>
      <c r="V849" s="17"/>
      <c r="W849" s="17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  <c r="AM849" s="15"/>
      <c r="AN849" s="15"/>
      <c r="AO849" s="15"/>
      <c r="AP849" s="15"/>
      <c r="AQ849" s="15"/>
      <c r="AR849" s="15"/>
      <c r="AS849" s="15"/>
      <c r="AT849" s="15"/>
      <c r="AU849" s="15"/>
      <c r="AV849" s="15"/>
      <c r="AW849" s="15"/>
      <c r="AX849" s="15"/>
      <c r="AY849" s="15"/>
      <c r="AZ849" s="15"/>
      <c r="BA849" s="15"/>
      <c r="BB849" s="15"/>
      <c r="BC849" s="15"/>
      <c r="BD849" s="15"/>
      <c r="BE849" s="15"/>
      <c r="BF849" s="15"/>
      <c r="BG849" s="15"/>
      <c r="BH849" s="15"/>
      <c r="BI849" s="15"/>
    </row>
    <row r="850" spans="1:61" ht="15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7"/>
      <c r="O850" s="17"/>
      <c r="P850" s="15"/>
      <c r="Q850" s="15"/>
      <c r="R850" s="15"/>
      <c r="S850" s="15"/>
      <c r="T850" s="15"/>
      <c r="U850" s="15"/>
      <c r="V850" s="17"/>
      <c r="W850" s="17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  <c r="AL850" s="15"/>
      <c r="AM850" s="15"/>
      <c r="AN850" s="15"/>
      <c r="AO850" s="15"/>
      <c r="AP850" s="15"/>
      <c r="AQ850" s="15"/>
      <c r="AR850" s="15"/>
      <c r="AS850" s="15"/>
      <c r="AT850" s="15"/>
      <c r="AU850" s="15"/>
      <c r="AV850" s="15"/>
      <c r="AW850" s="15"/>
      <c r="AX850" s="15"/>
      <c r="AY850" s="15"/>
      <c r="AZ850" s="15"/>
      <c r="BA850" s="15"/>
      <c r="BB850" s="15"/>
      <c r="BC850" s="15"/>
      <c r="BD850" s="15"/>
      <c r="BE850" s="15"/>
      <c r="BF850" s="15"/>
      <c r="BG850" s="15"/>
      <c r="BH850" s="15"/>
      <c r="BI850" s="15"/>
    </row>
    <row r="851" spans="1:61" ht="15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7"/>
      <c r="O851" s="17"/>
      <c r="P851" s="15"/>
      <c r="Q851" s="15"/>
      <c r="R851" s="15"/>
      <c r="S851" s="15"/>
      <c r="T851" s="15"/>
      <c r="U851" s="15"/>
      <c r="V851" s="17"/>
      <c r="W851" s="17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  <c r="AM851" s="15"/>
      <c r="AN851" s="15"/>
      <c r="AO851" s="15"/>
      <c r="AP851" s="15"/>
      <c r="AQ851" s="15"/>
      <c r="AR851" s="15"/>
      <c r="AS851" s="15"/>
      <c r="AT851" s="15"/>
      <c r="AU851" s="15"/>
      <c r="AV851" s="15"/>
      <c r="AW851" s="15"/>
      <c r="AX851" s="15"/>
      <c r="AY851" s="15"/>
      <c r="AZ851" s="15"/>
      <c r="BA851" s="15"/>
      <c r="BB851" s="15"/>
      <c r="BC851" s="15"/>
      <c r="BD851" s="15"/>
      <c r="BE851" s="15"/>
      <c r="BF851" s="15"/>
      <c r="BG851" s="15"/>
      <c r="BH851" s="15"/>
      <c r="BI851" s="15"/>
    </row>
    <row r="852" spans="1:61" ht="15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7"/>
      <c r="O852" s="17"/>
      <c r="P852" s="15"/>
      <c r="Q852" s="15"/>
      <c r="R852" s="15"/>
      <c r="S852" s="15"/>
      <c r="T852" s="15"/>
      <c r="U852" s="15"/>
      <c r="V852" s="17"/>
      <c r="W852" s="17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  <c r="AL852" s="15"/>
      <c r="AM852" s="15"/>
      <c r="AN852" s="15"/>
      <c r="AO852" s="15"/>
      <c r="AP852" s="15"/>
      <c r="AQ852" s="15"/>
      <c r="AR852" s="15"/>
      <c r="AS852" s="15"/>
      <c r="AT852" s="15"/>
      <c r="AU852" s="15"/>
      <c r="AV852" s="15"/>
      <c r="AW852" s="15"/>
      <c r="AX852" s="15"/>
      <c r="AY852" s="15"/>
      <c r="AZ852" s="15"/>
      <c r="BA852" s="15"/>
      <c r="BB852" s="15"/>
      <c r="BC852" s="15"/>
      <c r="BD852" s="15"/>
      <c r="BE852" s="15"/>
      <c r="BF852" s="15"/>
      <c r="BG852" s="15"/>
      <c r="BH852" s="15"/>
      <c r="BI852" s="15"/>
    </row>
    <row r="853" spans="1:61" ht="15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7"/>
      <c r="O853" s="17"/>
      <c r="P853" s="15"/>
      <c r="Q853" s="15"/>
      <c r="R853" s="15"/>
      <c r="S853" s="15"/>
      <c r="T853" s="15"/>
      <c r="U853" s="15"/>
      <c r="V853" s="17"/>
      <c r="W853" s="17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  <c r="AM853" s="15"/>
      <c r="AN853" s="15"/>
      <c r="AO853" s="15"/>
      <c r="AP853" s="15"/>
      <c r="AQ853" s="15"/>
      <c r="AR853" s="15"/>
      <c r="AS853" s="15"/>
      <c r="AT853" s="15"/>
      <c r="AU853" s="15"/>
      <c r="AV853" s="15"/>
      <c r="AW853" s="15"/>
      <c r="AX853" s="15"/>
      <c r="AY853" s="15"/>
      <c r="AZ853" s="15"/>
      <c r="BA853" s="15"/>
      <c r="BB853" s="15"/>
      <c r="BC853" s="15"/>
      <c r="BD853" s="15"/>
      <c r="BE853" s="15"/>
      <c r="BF853" s="15"/>
      <c r="BG853" s="15"/>
      <c r="BH853" s="15"/>
      <c r="BI853" s="15"/>
    </row>
    <row r="854" spans="1:61" ht="15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7"/>
      <c r="O854" s="17"/>
      <c r="P854" s="15"/>
      <c r="Q854" s="15"/>
      <c r="R854" s="15"/>
      <c r="S854" s="15"/>
      <c r="T854" s="15"/>
      <c r="U854" s="15"/>
      <c r="V854" s="17"/>
      <c r="W854" s="17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  <c r="AL854" s="15"/>
      <c r="AM854" s="15"/>
      <c r="AN854" s="15"/>
      <c r="AO854" s="15"/>
      <c r="AP854" s="15"/>
      <c r="AQ854" s="15"/>
      <c r="AR854" s="15"/>
      <c r="AS854" s="15"/>
      <c r="AT854" s="15"/>
      <c r="AU854" s="15"/>
      <c r="AV854" s="15"/>
      <c r="AW854" s="15"/>
      <c r="AX854" s="15"/>
      <c r="AY854" s="15"/>
      <c r="AZ854" s="15"/>
      <c r="BA854" s="15"/>
      <c r="BB854" s="15"/>
      <c r="BC854" s="15"/>
      <c r="BD854" s="15"/>
      <c r="BE854" s="15"/>
      <c r="BF854" s="15"/>
      <c r="BG854" s="15"/>
      <c r="BH854" s="15"/>
      <c r="BI854" s="15"/>
    </row>
    <row r="855" spans="1:61" ht="15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7"/>
      <c r="O855" s="17"/>
      <c r="P855" s="15"/>
      <c r="Q855" s="15"/>
      <c r="R855" s="15"/>
      <c r="S855" s="15"/>
      <c r="T855" s="15"/>
      <c r="U855" s="15"/>
      <c r="V855" s="17"/>
      <c r="W855" s="17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  <c r="AM855" s="15"/>
      <c r="AN855" s="15"/>
      <c r="AO855" s="15"/>
      <c r="AP855" s="15"/>
      <c r="AQ855" s="15"/>
      <c r="AR855" s="15"/>
      <c r="AS855" s="15"/>
      <c r="AT855" s="15"/>
      <c r="AU855" s="15"/>
      <c r="AV855" s="15"/>
      <c r="AW855" s="15"/>
      <c r="AX855" s="15"/>
      <c r="AY855" s="15"/>
      <c r="AZ855" s="15"/>
      <c r="BA855" s="15"/>
      <c r="BB855" s="15"/>
      <c r="BC855" s="15"/>
      <c r="BD855" s="15"/>
      <c r="BE855" s="15"/>
      <c r="BF855" s="15"/>
      <c r="BG855" s="15"/>
      <c r="BH855" s="15"/>
      <c r="BI855" s="15"/>
    </row>
    <row r="856" spans="1:61" ht="15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7"/>
      <c r="O856" s="17"/>
      <c r="P856" s="15"/>
      <c r="Q856" s="15"/>
      <c r="R856" s="15"/>
      <c r="S856" s="15"/>
      <c r="T856" s="15"/>
      <c r="U856" s="15"/>
      <c r="V856" s="17"/>
      <c r="W856" s="17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  <c r="AL856" s="15"/>
      <c r="AM856" s="15"/>
      <c r="AN856" s="15"/>
      <c r="AO856" s="15"/>
      <c r="AP856" s="15"/>
      <c r="AQ856" s="15"/>
      <c r="AR856" s="15"/>
      <c r="AS856" s="15"/>
      <c r="AT856" s="15"/>
      <c r="AU856" s="15"/>
      <c r="AV856" s="15"/>
      <c r="AW856" s="15"/>
      <c r="AX856" s="15"/>
      <c r="AY856" s="15"/>
      <c r="AZ856" s="15"/>
      <c r="BA856" s="15"/>
      <c r="BB856" s="15"/>
      <c r="BC856" s="15"/>
      <c r="BD856" s="15"/>
      <c r="BE856" s="15"/>
      <c r="BF856" s="15"/>
      <c r="BG856" s="15"/>
      <c r="BH856" s="15"/>
      <c r="BI856" s="15"/>
    </row>
    <row r="857" spans="1:61" ht="15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7"/>
      <c r="O857" s="17"/>
      <c r="P857" s="15"/>
      <c r="Q857" s="15"/>
      <c r="R857" s="15"/>
      <c r="S857" s="15"/>
      <c r="T857" s="15"/>
      <c r="U857" s="15"/>
      <c r="V857" s="17"/>
      <c r="W857" s="17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  <c r="AM857" s="15"/>
      <c r="AN857" s="15"/>
      <c r="AO857" s="15"/>
      <c r="AP857" s="15"/>
      <c r="AQ857" s="15"/>
      <c r="AR857" s="15"/>
      <c r="AS857" s="15"/>
      <c r="AT857" s="15"/>
      <c r="AU857" s="15"/>
      <c r="AV857" s="15"/>
      <c r="AW857" s="15"/>
      <c r="AX857" s="15"/>
      <c r="AY857" s="15"/>
      <c r="AZ857" s="15"/>
      <c r="BA857" s="15"/>
      <c r="BB857" s="15"/>
      <c r="BC857" s="15"/>
      <c r="BD857" s="15"/>
      <c r="BE857" s="15"/>
      <c r="BF857" s="15"/>
      <c r="BG857" s="15"/>
      <c r="BH857" s="15"/>
      <c r="BI857" s="15"/>
    </row>
    <row r="858" spans="1:61" ht="15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7"/>
      <c r="O858" s="17"/>
      <c r="P858" s="15"/>
      <c r="Q858" s="15"/>
      <c r="R858" s="15"/>
      <c r="S858" s="15"/>
      <c r="T858" s="15"/>
      <c r="U858" s="15"/>
      <c r="V858" s="17"/>
      <c r="W858" s="17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  <c r="AL858" s="15"/>
      <c r="AM858" s="15"/>
      <c r="AN858" s="15"/>
      <c r="AO858" s="15"/>
      <c r="AP858" s="15"/>
      <c r="AQ858" s="15"/>
      <c r="AR858" s="15"/>
      <c r="AS858" s="15"/>
      <c r="AT858" s="15"/>
      <c r="AU858" s="15"/>
      <c r="AV858" s="15"/>
      <c r="AW858" s="15"/>
      <c r="AX858" s="15"/>
      <c r="AY858" s="15"/>
      <c r="AZ858" s="15"/>
      <c r="BA858" s="15"/>
      <c r="BB858" s="15"/>
      <c r="BC858" s="15"/>
      <c r="BD858" s="15"/>
      <c r="BE858" s="15"/>
      <c r="BF858" s="15"/>
      <c r="BG858" s="15"/>
      <c r="BH858" s="15"/>
      <c r="BI858" s="15"/>
    </row>
    <row r="859" spans="1:61" ht="15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7"/>
      <c r="O859" s="17"/>
      <c r="P859" s="15"/>
      <c r="Q859" s="15"/>
      <c r="R859" s="15"/>
      <c r="S859" s="15"/>
      <c r="T859" s="15"/>
      <c r="U859" s="15"/>
      <c r="V859" s="17"/>
      <c r="W859" s="17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  <c r="AM859" s="15"/>
      <c r="AN859" s="15"/>
      <c r="AO859" s="15"/>
      <c r="AP859" s="15"/>
      <c r="AQ859" s="15"/>
      <c r="AR859" s="15"/>
      <c r="AS859" s="15"/>
      <c r="AT859" s="15"/>
      <c r="AU859" s="15"/>
      <c r="AV859" s="15"/>
      <c r="AW859" s="15"/>
      <c r="AX859" s="15"/>
      <c r="AY859" s="15"/>
      <c r="AZ859" s="15"/>
      <c r="BA859" s="15"/>
      <c r="BB859" s="15"/>
      <c r="BC859" s="15"/>
      <c r="BD859" s="15"/>
      <c r="BE859" s="15"/>
      <c r="BF859" s="15"/>
      <c r="BG859" s="15"/>
      <c r="BH859" s="15"/>
      <c r="BI859" s="15"/>
    </row>
    <row r="860" spans="1:61" ht="15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7"/>
      <c r="O860" s="17"/>
      <c r="P860" s="15"/>
      <c r="Q860" s="15"/>
      <c r="R860" s="15"/>
      <c r="S860" s="15"/>
      <c r="T860" s="15"/>
      <c r="U860" s="15"/>
      <c r="V860" s="17"/>
      <c r="W860" s="17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  <c r="AL860" s="15"/>
      <c r="AM860" s="15"/>
      <c r="AN860" s="15"/>
      <c r="AO860" s="15"/>
      <c r="AP860" s="15"/>
      <c r="AQ860" s="15"/>
      <c r="AR860" s="15"/>
      <c r="AS860" s="15"/>
      <c r="AT860" s="15"/>
      <c r="AU860" s="15"/>
      <c r="AV860" s="15"/>
      <c r="AW860" s="15"/>
      <c r="AX860" s="15"/>
      <c r="AY860" s="15"/>
      <c r="AZ860" s="15"/>
      <c r="BA860" s="15"/>
      <c r="BB860" s="15"/>
      <c r="BC860" s="15"/>
      <c r="BD860" s="15"/>
      <c r="BE860" s="15"/>
      <c r="BF860" s="15"/>
      <c r="BG860" s="15"/>
      <c r="BH860" s="15"/>
      <c r="BI860" s="15"/>
    </row>
    <row r="861" spans="1:61" ht="15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7"/>
      <c r="O861" s="17"/>
      <c r="P861" s="15"/>
      <c r="Q861" s="15"/>
      <c r="R861" s="15"/>
      <c r="S861" s="15"/>
      <c r="T861" s="15"/>
      <c r="U861" s="15"/>
      <c r="V861" s="17"/>
      <c r="W861" s="17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  <c r="AM861" s="15"/>
      <c r="AN861" s="15"/>
      <c r="AO861" s="15"/>
      <c r="AP861" s="15"/>
      <c r="AQ861" s="15"/>
      <c r="AR861" s="15"/>
      <c r="AS861" s="15"/>
      <c r="AT861" s="15"/>
      <c r="AU861" s="15"/>
      <c r="AV861" s="15"/>
      <c r="AW861" s="15"/>
      <c r="AX861" s="15"/>
      <c r="AY861" s="15"/>
      <c r="AZ861" s="15"/>
      <c r="BA861" s="15"/>
      <c r="BB861" s="15"/>
      <c r="BC861" s="15"/>
      <c r="BD861" s="15"/>
      <c r="BE861" s="15"/>
      <c r="BF861" s="15"/>
      <c r="BG861" s="15"/>
      <c r="BH861" s="15"/>
      <c r="BI861" s="15"/>
    </row>
    <row r="862" spans="1:61" ht="15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7"/>
      <c r="O862" s="17"/>
      <c r="P862" s="15"/>
      <c r="Q862" s="15"/>
      <c r="R862" s="15"/>
      <c r="S862" s="15"/>
      <c r="T862" s="15"/>
      <c r="U862" s="15"/>
      <c r="V862" s="17"/>
      <c r="W862" s="17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  <c r="AL862" s="15"/>
      <c r="AM862" s="15"/>
      <c r="AN862" s="15"/>
      <c r="AO862" s="15"/>
      <c r="AP862" s="15"/>
      <c r="AQ862" s="15"/>
      <c r="AR862" s="15"/>
      <c r="AS862" s="15"/>
      <c r="AT862" s="15"/>
      <c r="AU862" s="15"/>
      <c r="AV862" s="15"/>
      <c r="AW862" s="15"/>
      <c r="AX862" s="15"/>
      <c r="AY862" s="15"/>
      <c r="AZ862" s="15"/>
      <c r="BA862" s="15"/>
      <c r="BB862" s="15"/>
      <c r="BC862" s="15"/>
      <c r="BD862" s="15"/>
      <c r="BE862" s="15"/>
      <c r="BF862" s="15"/>
      <c r="BG862" s="15"/>
      <c r="BH862" s="15"/>
      <c r="BI862" s="15"/>
    </row>
    <row r="863" spans="1:61" ht="15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7"/>
      <c r="O863" s="17"/>
      <c r="P863" s="15"/>
      <c r="Q863" s="15"/>
      <c r="R863" s="15"/>
      <c r="S863" s="15"/>
      <c r="T863" s="15"/>
      <c r="U863" s="15"/>
      <c r="V863" s="17"/>
      <c r="W863" s="17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  <c r="AM863" s="15"/>
      <c r="AN863" s="15"/>
      <c r="AO863" s="15"/>
      <c r="AP863" s="15"/>
      <c r="AQ863" s="15"/>
      <c r="AR863" s="15"/>
      <c r="AS863" s="15"/>
      <c r="AT863" s="15"/>
      <c r="AU863" s="15"/>
      <c r="AV863" s="15"/>
      <c r="AW863" s="15"/>
      <c r="AX863" s="15"/>
      <c r="AY863" s="15"/>
      <c r="AZ863" s="15"/>
      <c r="BA863" s="15"/>
      <c r="BB863" s="15"/>
      <c r="BC863" s="15"/>
      <c r="BD863" s="15"/>
      <c r="BE863" s="15"/>
      <c r="BF863" s="15"/>
      <c r="BG863" s="15"/>
      <c r="BH863" s="15"/>
      <c r="BI863" s="15"/>
    </row>
    <row r="864" spans="1:61" ht="15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7"/>
      <c r="O864" s="17"/>
      <c r="P864" s="15"/>
      <c r="Q864" s="15"/>
      <c r="R864" s="15"/>
      <c r="S864" s="15"/>
      <c r="T864" s="15"/>
      <c r="U864" s="15"/>
      <c r="V864" s="17"/>
      <c r="W864" s="17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  <c r="AL864" s="15"/>
      <c r="AM864" s="15"/>
      <c r="AN864" s="15"/>
      <c r="AO864" s="15"/>
      <c r="AP864" s="15"/>
      <c r="AQ864" s="15"/>
      <c r="AR864" s="15"/>
      <c r="AS864" s="15"/>
      <c r="AT864" s="15"/>
      <c r="AU864" s="15"/>
      <c r="AV864" s="15"/>
      <c r="AW864" s="15"/>
      <c r="AX864" s="15"/>
      <c r="AY864" s="15"/>
      <c r="AZ864" s="15"/>
      <c r="BA864" s="15"/>
      <c r="BB864" s="15"/>
      <c r="BC864" s="15"/>
      <c r="BD864" s="15"/>
      <c r="BE864" s="15"/>
      <c r="BF864" s="15"/>
      <c r="BG864" s="15"/>
      <c r="BH864" s="15"/>
      <c r="BI864" s="15"/>
    </row>
    <row r="865" spans="1:61" ht="15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7"/>
      <c r="O865" s="17"/>
      <c r="P865" s="15"/>
      <c r="Q865" s="15"/>
      <c r="R865" s="15"/>
      <c r="S865" s="15"/>
      <c r="T865" s="15"/>
      <c r="U865" s="15"/>
      <c r="V865" s="17"/>
      <c r="W865" s="17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  <c r="AM865" s="15"/>
      <c r="AN865" s="15"/>
      <c r="AO865" s="15"/>
      <c r="AP865" s="15"/>
      <c r="AQ865" s="15"/>
      <c r="AR865" s="15"/>
      <c r="AS865" s="15"/>
      <c r="AT865" s="15"/>
      <c r="AU865" s="15"/>
      <c r="AV865" s="15"/>
      <c r="AW865" s="15"/>
      <c r="AX865" s="15"/>
      <c r="AY865" s="15"/>
      <c r="AZ865" s="15"/>
      <c r="BA865" s="15"/>
      <c r="BB865" s="15"/>
      <c r="BC865" s="15"/>
      <c r="BD865" s="15"/>
      <c r="BE865" s="15"/>
      <c r="BF865" s="15"/>
      <c r="BG865" s="15"/>
      <c r="BH865" s="15"/>
      <c r="BI865" s="15"/>
    </row>
    <row r="866" spans="1:61" ht="15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7"/>
      <c r="O866" s="17"/>
      <c r="P866" s="15"/>
      <c r="Q866" s="15"/>
      <c r="R866" s="15"/>
      <c r="S866" s="15"/>
      <c r="T866" s="15"/>
      <c r="U866" s="15"/>
      <c r="V866" s="17"/>
      <c r="W866" s="17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  <c r="AL866" s="15"/>
      <c r="AM866" s="15"/>
      <c r="AN866" s="15"/>
      <c r="AO866" s="15"/>
      <c r="AP866" s="15"/>
      <c r="AQ866" s="15"/>
      <c r="AR866" s="15"/>
      <c r="AS866" s="15"/>
      <c r="AT866" s="15"/>
      <c r="AU866" s="15"/>
      <c r="AV866" s="15"/>
      <c r="AW866" s="15"/>
      <c r="AX866" s="15"/>
      <c r="AY866" s="15"/>
      <c r="AZ866" s="15"/>
      <c r="BA866" s="15"/>
      <c r="BB866" s="15"/>
      <c r="BC866" s="15"/>
      <c r="BD866" s="15"/>
      <c r="BE866" s="15"/>
      <c r="BF866" s="15"/>
      <c r="BG866" s="15"/>
      <c r="BH866" s="15"/>
      <c r="BI866" s="15"/>
    </row>
    <row r="867" spans="1:61" ht="15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7"/>
      <c r="O867" s="17"/>
      <c r="P867" s="15"/>
      <c r="Q867" s="15"/>
      <c r="R867" s="15"/>
      <c r="S867" s="15"/>
      <c r="T867" s="15"/>
      <c r="U867" s="15"/>
      <c r="V867" s="17"/>
      <c r="W867" s="17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  <c r="AL867" s="15"/>
      <c r="AM867" s="15"/>
      <c r="AN867" s="15"/>
      <c r="AO867" s="15"/>
      <c r="AP867" s="15"/>
      <c r="AQ867" s="15"/>
      <c r="AR867" s="15"/>
      <c r="AS867" s="15"/>
      <c r="AT867" s="15"/>
      <c r="AU867" s="15"/>
      <c r="AV867" s="15"/>
      <c r="AW867" s="15"/>
      <c r="AX867" s="15"/>
      <c r="AY867" s="15"/>
      <c r="AZ867" s="15"/>
      <c r="BA867" s="15"/>
      <c r="BB867" s="15"/>
      <c r="BC867" s="15"/>
      <c r="BD867" s="15"/>
      <c r="BE867" s="15"/>
      <c r="BF867" s="15"/>
      <c r="BG867" s="15"/>
      <c r="BH867" s="15"/>
      <c r="BI867" s="15"/>
    </row>
    <row r="868" spans="1:61" ht="15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7"/>
      <c r="O868" s="17"/>
      <c r="P868" s="15"/>
      <c r="Q868" s="15"/>
      <c r="R868" s="15"/>
      <c r="S868" s="15"/>
      <c r="T868" s="15"/>
      <c r="U868" s="15"/>
      <c r="V868" s="17"/>
      <c r="W868" s="17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  <c r="AL868" s="15"/>
      <c r="AM868" s="15"/>
      <c r="AN868" s="15"/>
      <c r="AO868" s="15"/>
      <c r="AP868" s="15"/>
      <c r="AQ868" s="15"/>
      <c r="AR868" s="15"/>
      <c r="AS868" s="15"/>
      <c r="AT868" s="15"/>
      <c r="AU868" s="15"/>
      <c r="AV868" s="15"/>
      <c r="AW868" s="15"/>
      <c r="AX868" s="15"/>
      <c r="AY868" s="15"/>
      <c r="AZ868" s="15"/>
      <c r="BA868" s="15"/>
      <c r="BB868" s="15"/>
      <c r="BC868" s="15"/>
      <c r="BD868" s="15"/>
      <c r="BE868" s="15"/>
      <c r="BF868" s="15"/>
      <c r="BG868" s="15"/>
      <c r="BH868" s="15"/>
      <c r="BI868" s="15"/>
    </row>
    <row r="869" spans="1:61" ht="15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7"/>
      <c r="O869" s="17"/>
      <c r="P869" s="15"/>
      <c r="Q869" s="15"/>
      <c r="R869" s="15"/>
      <c r="S869" s="15"/>
      <c r="T869" s="15"/>
      <c r="U869" s="15"/>
      <c r="V869" s="17"/>
      <c r="W869" s="17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/>
      <c r="AM869" s="15"/>
      <c r="AN869" s="15"/>
      <c r="AO869" s="15"/>
      <c r="AP869" s="15"/>
      <c r="AQ869" s="15"/>
      <c r="AR869" s="15"/>
      <c r="AS869" s="15"/>
      <c r="AT869" s="15"/>
      <c r="AU869" s="15"/>
      <c r="AV869" s="15"/>
      <c r="AW869" s="15"/>
      <c r="AX869" s="15"/>
      <c r="AY869" s="15"/>
      <c r="AZ869" s="15"/>
      <c r="BA869" s="15"/>
      <c r="BB869" s="15"/>
      <c r="BC869" s="15"/>
      <c r="BD869" s="15"/>
      <c r="BE869" s="15"/>
      <c r="BF869" s="15"/>
      <c r="BG869" s="15"/>
      <c r="BH869" s="15"/>
      <c r="BI869" s="15"/>
    </row>
    <row r="870" spans="1:61" ht="15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7"/>
      <c r="O870" s="17"/>
      <c r="P870" s="15"/>
      <c r="Q870" s="15"/>
      <c r="R870" s="15"/>
      <c r="S870" s="15"/>
      <c r="T870" s="15"/>
      <c r="U870" s="15"/>
      <c r="V870" s="17"/>
      <c r="W870" s="17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  <c r="AL870" s="15"/>
      <c r="AM870" s="15"/>
      <c r="AN870" s="15"/>
      <c r="AO870" s="15"/>
      <c r="AP870" s="15"/>
      <c r="AQ870" s="15"/>
      <c r="AR870" s="15"/>
      <c r="AS870" s="15"/>
      <c r="AT870" s="15"/>
      <c r="AU870" s="15"/>
      <c r="AV870" s="15"/>
      <c r="AW870" s="15"/>
      <c r="AX870" s="15"/>
      <c r="AY870" s="15"/>
      <c r="AZ870" s="15"/>
      <c r="BA870" s="15"/>
      <c r="BB870" s="15"/>
      <c r="BC870" s="15"/>
      <c r="BD870" s="15"/>
      <c r="BE870" s="15"/>
      <c r="BF870" s="15"/>
      <c r="BG870" s="15"/>
      <c r="BH870" s="15"/>
      <c r="BI870" s="15"/>
    </row>
    <row r="871" spans="1:61" ht="15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7"/>
      <c r="O871" s="17"/>
      <c r="P871" s="15"/>
      <c r="Q871" s="15"/>
      <c r="R871" s="15"/>
      <c r="S871" s="15"/>
      <c r="T871" s="15"/>
      <c r="U871" s="15"/>
      <c r="V871" s="17"/>
      <c r="W871" s="17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  <c r="AM871" s="15"/>
      <c r="AN871" s="15"/>
      <c r="AO871" s="15"/>
      <c r="AP871" s="15"/>
      <c r="AQ871" s="15"/>
      <c r="AR871" s="15"/>
      <c r="AS871" s="15"/>
      <c r="AT871" s="15"/>
      <c r="AU871" s="15"/>
      <c r="AV871" s="15"/>
      <c r="AW871" s="15"/>
      <c r="AX871" s="15"/>
      <c r="AY871" s="15"/>
      <c r="AZ871" s="15"/>
      <c r="BA871" s="15"/>
      <c r="BB871" s="15"/>
      <c r="BC871" s="15"/>
      <c r="BD871" s="15"/>
      <c r="BE871" s="15"/>
      <c r="BF871" s="15"/>
      <c r="BG871" s="15"/>
      <c r="BH871" s="15"/>
      <c r="BI871" s="15"/>
    </row>
    <row r="872" spans="1:61" ht="15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7"/>
      <c r="O872" s="17"/>
      <c r="P872" s="15"/>
      <c r="Q872" s="15"/>
      <c r="R872" s="15"/>
      <c r="S872" s="15"/>
      <c r="T872" s="15"/>
      <c r="U872" s="15"/>
      <c r="V872" s="17"/>
      <c r="W872" s="17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  <c r="AL872" s="15"/>
      <c r="AM872" s="15"/>
      <c r="AN872" s="15"/>
      <c r="AO872" s="15"/>
      <c r="AP872" s="15"/>
      <c r="AQ872" s="15"/>
      <c r="AR872" s="15"/>
      <c r="AS872" s="15"/>
      <c r="AT872" s="15"/>
      <c r="AU872" s="15"/>
      <c r="AV872" s="15"/>
      <c r="AW872" s="15"/>
      <c r="AX872" s="15"/>
      <c r="AY872" s="15"/>
      <c r="AZ872" s="15"/>
      <c r="BA872" s="15"/>
      <c r="BB872" s="15"/>
      <c r="BC872" s="15"/>
      <c r="BD872" s="15"/>
      <c r="BE872" s="15"/>
      <c r="BF872" s="15"/>
      <c r="BG872" s="15"/>
      <c r="BH872" s="15"/>
      <c r="BI872" s="15"/>
    </row>
    <row r="873" spans="1:61" ht="15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7"/>
      <c r="O873" s="17"/>
      <c r="P873" s="15"/>
      <c r="Q873" s="15"/>
      <c r="R873" s="15"/>
      <c r="S873" s="15"/>
      <c r="T873" s="15"/>
      <c r="U873" s="15"/>
      <c r="V873" s="17"/>
      <c r="W873" s="17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/>
      <c r="AM873" s="15"/>
      <c r="AN873" s="15"/>
      <c r="AO873" s="15"/>
      <c r="AP873" s="15"/>
      <c r="AQ873" s="15"/>
      <c r="AR873" s="15"/>
      <c r="AS873" s="15"/>
      <c r="AT873" s="15"/>
      <c r="AU873" s="15"/>
      <c r="AV873" s="15"/>
      <c r="AW873" s="15"/>
      <c r="AX873" s="15"/>
      <c r="AY873" s="15"/>
      <c r="AZ873" s="15"/>
      <c r="BA873" s="15"/>
      <c r="BB873" s="15"/>
      <c r="BC873" s="15"/>
      <c r="BD873" s="15"/>
      <c r="BE873" s="15"/>
      <c r="BF873" s="15"/>
      <c r="BG873" s="15"/>
      <c r="BH873" s="15"/>
      <c r="BI873" s="15"/>
    </row>
    <row r="874" spans="1:61" ht="15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7"/>
      <c r="O874" s="17"/>
      <c r="P874" s="15"/>
      <c r="Q874" s="15"/>
      <c r="R874" s="15"/>
      <c r="S874" s="15"/>
      <c r="T874" s="15"/>
      <c r="U874" s="15"/>
      <c r="V874" s="17"/>
      <c r="W874" s="17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  <c r="AL874" s="15"/>
      <c r="AM874" s="15"/>
      <c r="AN874" s="15"/>
      <c r="AO874" s="15"/>
      <c r="AP874" s="15"/>
      <c r="AQ874" s="15"/>
      <c r="AR874" s="15"/>
      <c r="AS874" s="15"/>
      <c r="AT874" s="15"/>
      <c r="AU874" s="15"/>
      <c r="AV874" s="15"/>
      <c r="AW874" s="15"/>
      <c r="AX874" s="15"/>
      <c r="AY874" s="15"/>
      <c r="AZ874" s="15"/>
      <c r="BA874" s="15"/>
      <c r="BB874" s="15"/>
      <c r="BC874" s="15"/>
      <c r="BD874" s="15"/>
      <c r="BE874" s="15"/>
      <c r="BF874" s="15"/>
      <c r="BG874" s="15"/>
      <c r="BH874" s="15"/>
      <c r="BI874" s="15"/>
    </row>
    <row r="875" spans="1:61" ht="15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7"/>
      <c r="O875" s="17"/>
      <c r="P875" s="15"/>
      <c r="Q875" s="15"/>
      <c r="R875" s="15"/>
      <c r="S875" s="15"/>
      <c r="T875" s="15"/>
      <c r="U875" s="15"/>
      <c r="V875" s="17"/>
      <c r="W875" s="17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  <c r="AL875" s="15"/>
      <c r="AM875" s="15"/>
      <c r="AN875" s="15"/>
      <c r="AO875" s="15"/>
      <c r="AP875" s="15"/>
      <c r="AQ875" s="15"/>
      <c r="AR875" s="15"/>
      <c r="AS875" s="15"/>
      <c r="AT875" s="15"/>
      <c r="AU875" s="15"/>
      <c r="AV875" s="15"/>
      <c r="AW875" s="15"/>
      <c r="AX875" s="15"/>
      <c r="AY875" s="15"/>
      <c r="AZ875" s="15"/>
      <c r="BA875" s="15"/>
      <c r="BB875" s="15"/>
      <c r="BC875" s="15"/>
      <c r="BD875" s="15"/>
      <c r="BE875" s="15"/>
      <c r="BF875" s="15"/>
      <c r="BG875" s="15"/>
      <c r="BH875" s="15"/>
      <c r="BI875" s="15"/>
    </row>
    <row r="876" spans="1:61" ht="15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7"/>
      <c r="O876" s="17"/>
      <c r="P876" s="15"/>
      <c r="Q876" s="15"/>
      <c r="R876" s="15"/>
      <c r="S876" s="15"/>
      <c r="T876" s="15"/>
      <c r="U876" s="15"/>
      <c r="V876" s="17"/>
      <c r="W876" s="17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  <c r="AL876" s="15"/>
      <c r="AM876" s="15"/>
      <c r="AN876" s="15"/>
      <c r="AO876" s="15"/>
      <c r="AP876" s="15"/>
      <c r="AQ876" s="15"/>
      <c r="AR876" s="15"/>
      <c r="AS876" s="15"/>
      <c r="AT876" s="15"/>
      <c r="AU876" s="15"/>
      <c r="AV876" s="15"/>
      <c r="AW876" s="15"/>
      <c r="AX876" s="15"/>
      <c r="AY876" s="15"/>
      <c r="AZ876" s="15"/>
      <c r="BA876" s="15"/>
      <c r="BB876" s="15"/>
      <c r="BC876" s="15"/>
      <c r="BD876" s="15"/>
      <c r="BE876" s="15"/>
      <c r="BF876" s="15"/>
      <c r="BG876" s="15"/>
      <c r="BH876" s="15"/>
      <c r="BI876" s="15"/>
    </row>
    <row r="877" spans="1:61" ht="15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7"/>
      <c r="O877" s="17"/>
      <c r="P877" s="15"/>
      <c r="Q877" s="15"/>
      <c r="R877" s="15"/>
      <c r="S877" s="15"/>
      <c r="T877" s="15"/>
      <c r="U877" s="15"/>
      <c r="V877" s="17"/>
      <c r="W877" s="17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  <c r="AM877" s="15"/>
      <c r="AN877" s="15"/>
      <c r="AO877" s="15"/>
      <c r="AP877" s="15"/>
      <c r="AQ877" s="15"/>
      <c r="AR877" s="15"/>
      <c r="AS877" s="15"/>
      <c r="AT877" s="15"/>
      <c r="AU877" s="15"/>
      <c r="AV877" s="15"/>
      <c r="AW877" s="15"/>
      <c r="AX877" s="15"/>
      <c r="AY877" s="15"/>
      <c r="AZ877" s="15"/>
      <c r="BA877" s="15"/>
      <c r="BB877" s="15"/>
      <c r="BC877" s="15"/>
      <c r="BD877" s="15"/>
      <c r="BE877" s="15"/>
      <c r="BF877" s="15"/>
      <c r="BG877" s="15"/>
      <c r="BH877" s="15"/>
      <c r="BI877" s="15"/>
    </row>
    <row r="878" spans="1:61" ht="15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7"/>
      <c r="O878" s="17"/>
      <c r="P878" s="15"/>
      <c r="Q878" s="15"/>
      <c r="R878" s="15"/>
      <c r="S878" s="15"/>
      <c r="T878" s="15"/>
      <c r="U878" s="15"/>
      <c r="V878" s="17"/>
      <c r="W878" s="17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  <c r="AL878" s="15"/>
      <c r="AM878" s="15"/>
      <c r="AN878" s="15"/>
      <c r="AO878" s="15"/>
      <c r="AP878" s="15"/>
      <c r="AQ878" s="15"/>
      <c r="AR878" s="15"/>
      <c r="AS878" s="15"/>
      <c r="AT878" s="15"/>
      <c r="AU878" s="15"/>
      <c r="AV878" s="15"/>
      <c r="AW878" s="15"/>
      <c r="AX878" s="15"/>
      <c r="AY878" s="15"/>
      <c r="AZ878" s="15"/>
      <c r="BA878" s="15"/>
      <c r="BB878" s="15"/>
      <c r="BC878" s="15"/>
      <c r="BD878" s="15"/>
      <c r="BE878" s="15"/>
      <c r="BF878" s="15"/>
      <c r="BG878" s="15"/>
      <c r="BH878" s="15"/>
      <c r="BI878" s="15"/>
    </row>
    <row r="879" spans="1:61" ht="15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7"/>
      <c r="O879" s="17"/>
      <c r="P879" s="15"/>
      <c r="Q879" s="15"/>
      <c r="R879" s="15"/>
      <c r="S879" s="15"/>
      <c r="T879" s="15"/>
      <c r="U879" s="15"/>
      <c r="V879" s="17"/>
      <c r="W879" s="17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  <c r="AM879" s="15"/>
      <c r="AN879" s="15"/>
      <c r="AO879" s="15"/>
      <c r="AP879" s="15"/>
      <c r="AQ879" s="15"/>
      <c r="AR879" s="15"/>
      <c r="AS879" s="15"/>
      <c r="AT879" s="15"/>
      <c r="AU879" s="15"/>
      <c r="AV879" s="15"/>
      <c r="AW879" s="15"/>
      <c r="AX879" s="15"/>
      <c r="AY879" s="15"/>
      <c r="AZ879" s="15"/>
      <c r="BA879" s="15"/>
      <c r="BB879" s="15"/>
      <c r="BC879" s="15"/>
      <c r="BD879" s="15"/>
      <c r="BE879" s="15"/>
      <c r="BF879" s="15"/>
      <c r="BG879" s="15"/>
      <c r="BH879" s="15"/>
      <c r="BI879" s="15"/>
    </row>
    <row r="880" spans="1:61" ht="15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7"/>
      <c r="O880" s="17"/>
      <c r="P880" s="15"/>
      <c r="Q880" s="15"/>
      <c r="R880" s="15"/>
      <c r="S880" s="15"/>
      <c r="T880" s="15"/>
      <c r="U880" s="15"/>
      <c r="V880" s="17"/>
      <c r="W880" s="17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  <c r="AL880" s="15"/>
      <c r="AM880" s="15"/>
      <c r="AN880" s="15"/>
      <c r="AO880" s="15"/>
      <c r="AP880" s="15"/>
      <c r="AQ880" s="15"/>
      <c r="AR880" s="15"/>
      <c r="AS880" s="15"/>
      <c r="AT880" s="15"/>
      <c r="AU880" s="15"/>
      <c r="AV880" s="15"/>
      <c r="AW880" s="15"/>
      <c r="AX880" s="15"/>
      <c r="AY880" s="15"/>
      <c r="AZ880" s="15"/>
      <c r="BA880" s="15"/>
      <c r="BB880" s="15"/>
      <c r="BC880" s="15"/>
      <c r="BD880" s="15"/>
      <c r="BE880" s="15"/>
      <c r="BF880" s="15"/>
      <c r="BG880" s="15"/>
      <c r="BH880" s="15"/>
      <c r="BI880" s="15"/>
    </row>
    <row r="881" spans="1:61" ht="15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7"/>
      <c r="O881" s="17"/>
      <c r="P881" s="15"/>
      <c r="Q881" s="15"/>
      <c r="R881" s="15"/>
      <c r="S881" s="15"/>
      <c r="T881" s="15"/>
      <c r="U881" s="15"/>
      <c r="V881" s="17"/>
      <c r="W881" s="17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  <c r="AL881" s="15"/>
      <c r="AM881" s="15"/>
      <c r="AN881" s="15"/>
      <c r="AO881" s="15"/>
      <c r="AP881" s="15"/>
      <c r="AQ881" s="15"/>
      <c r="AR881" s="15"/>
      <c r="AS881" s="15"/>
      <c r="AT881" s="15"/>
      <c r="AU881" s="15"/>
      <c r="AV881" s="15"/>
      <c r="AW881" s="15"/>
      <c r="AX881" s="15"/>
      <c r="AY881" s="15"/>
      <c r="AZ881" s="15"/>
      <c r="BA881" s="15"/>
      <c r="BB881" s="15"/>
      <c r="BC881" s="15"/>
      <c r="BD881" s="15"/>
      <c r="BE881" s="15"/>
      <c r="BF881" s="15"/>
      <c r="BG881" s="15"/>
      <c r="BH881" s="15"/>
      <c r="BI881" s="15"/>
    </row>
    <row r="882" spans="1:61" ht="15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7"/>
      <c r="O882" s="17"/>
      <c r="P882" s="15"/>
      <c r="Q882" s="15"/>
      <c r="R882" s="15"/>
      <c r="S882" s="15"/>
      <c r="T882" s="15"/>
      <c r="U882" s="15"/>
      <c r="V882" s="17"/>
      <c r="W882" s="17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  <c r="AL882" s="15"/>
      <c r="AM882" s="15"/>
      <c r="AN882" s="15"/>
      <c r="AO882" s="15"/>
      <c r="AP882" s="15"/>
      <c r="AQ882" s="15"/>
      <c r="AR882" s="15"/>
      <c r="AS882" s="15"/>
      <c r="AT882" s="15"/>
      <c r="AU882" s="15"/>
      <c r="AV882" s="15"/>
      <c r="AW882" s="15"/>
      <c r="AX882" s="15"/>
      <c r="AY882" s="15"/>
      <c r="AZ882" s="15"/>
      <c r="BA882" s="15"/>
      <c r="BB882" s="15"/>
      <c r="BC882" s="15"/>
      <c r="BD882" s="15"/>
      <c r="BE882" s="15"/>
      <c r="BF882" s="15"/>
      <c r="BG882" s="15"/>
      <c r="BH882" s="15"/>
      <c r="BI882" s="15"/>
    </row>
    <row r="883" spans="1:61" ht="15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7"/>
      <c r="O883" s="17"/>
      <c r="P883" s="15"/>
      <c r="Q883" s="15"/>
      <c r="R883" s="15"/>
      <c r="S883" s="15"/>
      <c r="T883" s="15"/>
      <c r="U883" s="15"/>
      <c r="V883" s="17"/>
      <c r="W883" s="17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  <c r="AL883" s="15"/>
      <c r="AM883" s="15"/>
      <c r="AN883" s="15"/>
      <c r="AO883" s="15"/>
      <c r="AP883" s="15"/>
      <c r="AQ883" s="15"/>
      <c r="AR883" s="15"/>
      <c r="AS883" s="15"/>
      <c r="AT883" s="15"/>
      <c r="AU883" s="15"/>
      <c r="AV883" s="15"/>
      <c r="AW883" s="15"/>
      <c r="AX883" s="15"/>
      <c r="AY883" s="15"/>
      <c r="AZ883" s="15"/>
      <c r="BA883" s="15"/>
      <c r="BB883" s="15"/>
      <c r="BC883" s="15"/>
      <c r="BD883" s="15"/>
      <c r="BE883" s="15"/>
      <c r="BF883" s="15"/>
      <c r="BG883" s="15"/>
      <c r="BH883" s="15"/>
      <c r="BI883" s="15"/>
    </row>
    <row r="884" spans="1:61" ht="15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7"/>
      <c r="O884" s="17"/>
      <c r="P884" s="15"/>
      <c r="Q884" s="15"/>
      <c r="R884" s="15"/>
      <c r="S884" s="15"/>
      <c r="T884" s="15"/>
      <c r="U884" s="15"/>
      <c r="V884" s="17"/>
      <c r="W884" s="17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  <c r="AL884" s="15"/>
      <c r="AM884" s="15"/>
      <c r="AN884" s="15"/>
      <c r="AO884" s="15"/>
      <c r="AP884" s="15"/>
      <c r="AQ884" s="15"/>
      <c r="AR884" s="15"/>
      <c r="AS884" s="15"/>
      <c r="AT884" s="15"/>
      <c r="AU884" s="15"/>
      <c r="AV884" s="15"/>
      <c r="AW884" s="15"/>
      <c r="AX884" s="15"/>
      <c r="AY884" s="15"/>
      <c r="AZ884" s="15"/>
      <c r="BA884" s="15"/>
      <c r="BB884" s="15"/>
      <c r="BC884" s="15"/>
      <c r="BD884" s="15"/>
      <c r="BE884" s="15"/>
      <c r="BF884" s="15"/>
      <c r="BG884" s="15"/>
      <c r="BH884" s="15"/>
      <c r="BI884" s="15"/>
    </row>
    <row r="885" spans="1:61" ht="15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7"/>
      <c r="O885" s="17"/>
      <c r="P885" s="15"/>
      <c r="Q885" s="15"/>
      <c r="R885" s="15"/>
      <c r="S885" s="15"/>
      <c r="T885" s="15"/>
      <c r="U885" s="15"/>
      <c r="V885" s="17"/>
      <c r="W885" s="17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  <c r="AL885" s="15"/>
      <c r="AM885" s="15"/>
      <c r="AN885" s="15"/>
      <c r="AO885" s="15"/>
      <c r="AP885" s="15"/>
      <c r="AQ885" s="15"/>
      <c r="AR885" s="15"/>
      <c r="AS885" s="15"/>
      <c r="AT885" s="15"/>
      <c r="AU885" s="15"/>
      <c r="AV885" s="15"/>
      <c r="AW885" s="15"/>
      <c r="AX885" s="15"/>
      <c r="AY885" s="15"/>
      <c r="AZ885" s="15"/>
      <c r="BA885" s="15"/>
      <c r="BB885" s="15"/>
      <c r="BC885" s="15"/>
      <c r="BD885" s="15"/>
      <c r="BE885" s="15"/>
      <c r="BF885" s="15"/>
      <c r="BG885" s="15"/>
      <c r="BH885" s="15"/>
      <c r="BI885" s="15"/>
    </row>
    <row r="886" spans="1:61" ht="15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7"/>
      <c r="O886" s="17"/>
      <c r="P886" s="15"/>
      <c r="Q886" s="15"/>
      <c r="R886" s="15"/>
      <c r="S886" s="15"/>
      <c r="T886" s="15"/>
      <c r="U886" s="15"/>
      <c r="V886" s="17"/>
      <c r="W886" s="17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  <c r="AL886" s="15"/>
      <c r="AM886" s="15"/>
      <c r="AN886" s="15"/>
      <c r="AO886" s="15"/>
      <c r="AP886" s="15"/>
      <c r="AQ886" s="15"/>
      <c r="AR886" s="15"/>
      <c r="AS886" s="15"/>
      <c r="AT886" s="15"/>
      <c r="AU886" s="15"/>
      <c r="AV886" s="15"/>
      <c r="AW886" s="15"/>
      <c r="AX886" s="15"/>
      <c r="AY886" s="15"/>
      <c r="AZ886" s="15"/>
      <c r="BA886" s="15"/>
      <c r="BB886" s="15"/>
      <c r="BC886" s="15"/>
      <c r="BD886" s="15"/>
      <c r="BE886" s="15"/>
      <c r="BF886" s="15"/>
      <c r="BG886" s="15"/>
      <c r="BH886" s="15"/>
      <c r="BI886" s="15"/>
    </row>
    <row r="887" spans="1:61" ht="15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7"/>
      <c r="O887" s="17"/>
      <c r="P887" s="15"/>
      <c r="Q887" s="15"/>
      <c r="R887" s="15"/>
      <c r="S887" s="15"/>
      <c r="T887" s="15"/>
      <c r="U887" s="15"/>
      <c r="V887" s="17"/>
      <c r="W887" s="17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  <c r="AM887" s="15"/>
      <c r="AN887" s="15"/>
      <c r="AO887" s="15"/>
      <c r="AP887" s="15"/>
      <c r="AQ887" s="15"/>
      <c r="AR887" s="15"/>
      <c r="AS887" s="15"/>
      <c r="AT887" s="15"/>
      <c r="AU887" s="15"/>
      <c r="AV887" s="15"/>
      <c r="AW887" s="15"/>
      <c r="AX887" s="15"/>
      <c r="AY887" s="15"/>
      <c r="AZ887" s="15"/>
      <c r="BA887" s="15"/>
      <c r="BB887" s="15"/>
      <c r="BC887" s="15"/>
      <c r="BD887" s="15"/>
      <c r="BE887" s="15"/>
      <c r="BF887" s="15"/>
      <c r="BG887" s="15"/>
      <c r="BH887" s="15"/>
      <c r="BI887" s="15"/>
    </row>
    <row r="888" spans="1:61" ht="15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7"/>
      <c r="O888" s="17"/>
      <c r="P888" s="15"/>
      <c r="Q888" s="15"/>
      <c r="R888" s="15"/>
      <c r="S888" s="15"/>
      <c r="T888" s="15"/>
      <c r="U888" s="15"/>
      <c r="V888" s="17"/>
      <c r="W888" s="17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  <c r="AL888" s="15"/>
      <c r="AM888" s="15"/>
      <c r="AN888" s="15"/>
      <c r="AO888" s="15"/>
      <c r="AP888" s="15"/>
      <c r="AQ888" s="15"/>
      <c r="AR888" s="15"/>
      <c r="AS888" s="15"/>
      <c r="AT888" s="15"/>
      <c r="AU888" s="15"/>
      <c r="AV888" s="15"/>
      <c r="AW888" s="15"/>
      <c r="AX888" s="15"/>
      <c r="AY888" s="15"/>
      <c r="AZ888" s="15"/>
      <c r="BA888" s="15"/>
      <c r="BB888" s="15"/>
      <c r="BC888" s="15"/>
      <c r="BD888" s="15"/>
      <c r="BE888" s="15"/>
      <c r="BF888" s="15"/>
      <c r="BG888" s="15"/>
      <c r="BH888" s="15"/>
      <c r="BI888" s="15"/>
    </row>
    <row r="889" spans="1:61" ht="15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7"/>
      <c r="O889" s="17"/>
      <c r="P889" s="15"/>
      <c r="Q889" s="15"/>
      <c r="R889" s="15"/>
      <c r="S889" s="15"/>
      <c r="T889" s="15"/>
      <c r="U889" s="15"/>
      <c r="V889" s="17"/>
      <c r="W889" s="17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  <c r="AL889" s="15"/>
      <c r="AM889" s="15"/>
      <c r="AN889" s="15"/>
      <c r="AO889" s="15"/>
      <c r="AP889" s="15"/>
      <c r="AQ889" s="15"/>
      <c r="AR889" s="15"/>
      <c r="AS889" s="15"/>
      <c r="AT889" s="15"/>
      <c r="AU889" s="15"/>
      <c r="AV889" s="15"/>
      <c r="AW889" s="15"/>
      <c r="AX889" s="15"/>
      <c r="AY889" s="15"/>
      <c r="AZ889" s="15"/>
      <c r="BA889" s="15"/>
      <c r="BB889" s="15"/>
      <c r="BC889" s="15"/>
      <c r="BD889" s="15"/>
      <c r="BE889" s="15"/>
      <c r="BF889" s="15"/>
      <c r="BG889" s="15"/>
      <c r="BH889" s="15"/>
      <c r="BI889" s="15"/>
    </row>
    <row r="890" spans="1:61" ht="15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7"/>
      <c r="O890" s="17"/>
      <c r="P890" s="15"/>
      <c r="Q890" s="15"/>
      <c r="R890" s="15"/>
      <c r="S890" s="15"/>
      <c r="T890" s="15"/>
      <c r="U890" s="15"/>
      <c r="V890" s="17"/>
      <c r="W890" s="17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  <c r="AL890" s="15"/>
      <c r="AM890" s="15"/>
      <c r="AN890" s="15"/>
      <c r="AO890" s="15"/>
      <c r="AP890" s="15"/>
      <c r="AQ890" s="15"/>
      <c r="AR890" s="15"/>
      <c r="AS890" s="15"/>
      <c r="AT890" s="15"/>
      <c r="AU890" s="15"/>
      <c r="AV890" s="15"/>
      <c r="AW890" s="15"/>
      <c r="AX890" s="15"/>
      <c r="AY890" s="15"/>
      <c r="AZ890" s="15"/>
      <c r="BA890" s="15"/>
      <c r="BB890" s="15"/>
      <c r="BC890" s="15"/>
      <c r="BD890" s="15"/>
      <c r="BE890" s="15"/>
      <c r="BF890" s="15"/>
      <c r="BG890" s="15"/>
      <c r="BH890" s="15"/>
      <c r="BI890" s="15"/>
    </row>
    <row r="891" spans="1:61" ht="15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7"/>
      <c r="O891" s="17"/>
      <c r="P891" s="15"/>
      <c r="Q891" s="15"/>
      <c r="R891" s="15"/>
      <c r="S891" s="15"/>
      <c r="T891" s="15"/>
      <c r="U891" s="15"/>
      <c r="V891" s="17"/>
      <c r="W891" s="17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  <c r="AM891" s="15"/>
      <c r="AN891" s="15"/>
      <c r="AO891" s="15"/>
      <c r="AP891" s="15"/>
      <c r="AQ891" s="15"/>
      <c r="AR891" s="15"/>
      <c r="AS891" s="15"/>
      <c r="AT891" s="15"/>
      <c r="AU891" s="15"/>
      <c r="AV891" s="15"/>
      <c r="AW891" s="15"/>
      <c r="AX891" s="15"/>
      <c r="AY891" s="15"/>
      <c r="AZ891" s="15"/>
      <c r="BA891" s="15"/>
      <c r="BB891" s="15"/>
      <c r="BC891" s="15"/>
      <c r="BD891" s="15"/>
      <c r="BE891" s="15"/>
      <c r="BF891" s="15"/>
      <c r="BG891" s="15"/>
      <c r="BH891" s="15"/>
      <c r="BI891" s="15"/>
    </row>
    <row r="892" spans="1:61" ht="15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7"/>
      <c r="O892" s="17"/>
      <c r="P892" s="15"/>
      <c r="Q892" s="15"/>
      <c r="R892" s="15"/>
      <c r="S892" s="15"/>
      <c r="T892" s="15"/>
      <c r="U892" s="15"/>
      <c r="V892" s="17"/>
      <c r="W892" s="17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  <c r="AL892" s="15"/>
      <c r="AM892" s="15"/>
      <c r="AN892" s="15"/>
      <c r="AO892" s="15"/>
      <c r="AP892" s="15"/>
      <c r="AQ892" s="15"/>
      <c r="AR892" s="15"/>
      <c r="AS892" s="15"/>
      <c r="AT892" s="15"/>
      <c r="AU892" s="15"/>
      <c r="AV892" s="15"/>
      <c r="AW892" s="15"/>
      <c r="AX892" s="15"/>
      <c r="AY892" s="15"/>
      <c r="AZ892" s="15"/>
      <c r="BA892" s="15"/>
      <c r="BB892" s="15"/>
      <c r="BC892" s="15"/>
      <c r="BD892" s="15"/>
      <c r="BE892" s="15"/>
      <c r="BF892" s="15"/>
      <c r="BG892" s="15"/>
      <c r="BH892" s="15"/>
      <c r="BI892" s="15"/>
    </row>
    <row r="893" spans="1:61" ht="15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7"/>
      <c r="O893" s="17"/>
      <c r="P893" s="15"/>
      <c r="Q893" s="15"/>
      <c r="R893" s="15"/>
      <c r="S893" s="15"/>
      <c r="T893" s="15"/>
      <c r="U893" s="15"/>
      <c r="V893" s="17"/>
      <c r="W893" s="17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  <c r="AL893" s="15"/>
      <c r="AM893" s="15"/>
      <c r="AN893" s="15"/>
      <c r="AO893" s="15"/>
      <c r="AP893" s="15"/>
      <c r="AQ893" s="15"/>
      <c r="AR893" s="15"/>
      <c r="AS893" s="15"/>
      <c r="AT893" s="15"/>
      <c r="AU893" s="15"/>
      <c r="AV893" s="15"/>
      <c r="AW893" s="15"/>
      <c r="AX893" s="15"/>
      <c r="AY893" s="15"/>
      <c r="AZ893" s="15"/>
      <c r="BA893" s="15"/>
      <c r="BB893" s="15"/>
      <c r="BC893" s="15"/>
      <c r="BD893" s="15"/>
      <c r="BE893" s="15"/>
      <c r="BF893" s="15"/>
      <c r="BG893" s="15"/>
      <c r="BH893" s="15"/>
      <c r="BI893" s="15"/>
    </row>
    <row r="894" spans="1:61" ht="15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7"/>
      <c r="O894" s="17"/>
      <c r="P894" s="15"/>
      <c r="Q894" s="15"/>
      <c r="R894" s="15"/>
      <c r="S894" s="15"/>
      <c r="T894" s="15"/>
      <c r="U894" s="15"/>
      <c r="V894" s="17"/>
      <c r="W894" s="17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  <c r="AL894" s="15"/>
      <c r="AM894" s="15"/>
      <c r="AN894" s="15"/>
      <c r="AO894" s="15"/>
      <c r="AP894" s="15"/>
      <c r="AQ894" s="15"/>
      <c r="AR894" s="15"/>
      <c r="AS894" s="15"/>
      <c r="AT894" s="15"/>
      <c r="AU894" s="15"/>
      <c r="AV894" s="15"/>
      <c r="AW894" s="15"/>
      <c r="AX894" s="15"/>
      <c r="AY894" s="15"/>
      <c r="AZ894" s="15"/>
      <c r="BA894" s="15"/>
      <c r="BB894" s="15"/>
      <c r="BC894" s="15"/>
      <c r="BD894" s="15"/>
      <c r="BE894" s="15"/>
      <c r="BF894" s="15"/>
      <c r="BG894" s="15"/>
      <c r="BH894" s="15"/>
      <c r="BI894" s="15"/>
    </row>
    <row r="895" spans="1:61" ht="15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7"/>
      <c r="O895" s="17"/>
      <c r="P895" s="15"/>
      <c r="Q895" s="15"/>
      <c r="R895" s="15"/>
      <c r="S895" s="15"/>
      <c r="T895" s="15"/>
      <c r="U895" s="15"/>
      <c r="V895" s="17"/>
      <c r="W895" s="17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/>
      <c r="AM895" s="15"/>
      <c r="AN895" s="15"/>
      <c r="AO895" s="15"/>
      <c r="AP895" s="15"/>
      <c r="AQ895" s="15"/>
      <c r="AR895" s="15"/>
      <c r="AS895" s="15"/>
      <c r="AT895" s="15"/>
      <c r="AU895" s="15"/>
      <c r="AV895" s="15"/>
      <c r="AW895" s="15"/>
      <c r="AX895" s="15"/>
      <c r="AY895" s="15"/>
      <c r="AZ895" s="15"/>
      <c r="BA895" s="15"/>
      <c r="BB895" s="15"/>
      <c r="BC895" s="15"/>
      <c r="BD895" s="15"/>
      <c r="BE895" s="15"/>
      <c r="BF895" s="15"/>
      <c r="BG895" s="15"/>
      <c r="BH895" s="15"/>
      <c r="BI895" s="15"/>
    </row>
    <row r="896" spans="1:61" ht="15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7"/>
      <c r="O896" s="17"/>
      <c r="P896" s="15"/>
      <c r="Q896" s="15"/>
      <c r="R896" s="15"/>
      <c r="S896" s="15"/>
      <c r="T896" s="15"/>
      <c r="U896" s="15"/>
      <c r="V896" s="17"/>
      <c r="W896" s="17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  <c r="AL896" s="15"/>
      <c r="AM896" s="15"/>
      <c r="AN896" s="15"/>
      <c r="AO896" s="15"/>
      <c r="AP896" s="15"/>
      <c r="AQ896" s="15"/>
      <c r="AR896" s="15"/>
      <c r="AS896" s="15"/>
      <c r="AT896" s="15"/>
      <c r="AU896" s="15"/>
      <c r="AV896" s="15"/>
      <c r="AW896" s="15"/>
      <c r="AX896" s="15"/>
      <c r="AY896" s="15"/>
      <c r="AZ896" s="15"/>
      <c r="BA896" s="15"/>
      <c r="BB896" s="15"/>
      <c r="BC896" s="15"/>
      <c r="BD896" s="15"/>
      <c r="BE896" s="15"/>
      <c r="BF896" s="15"/>
      <c r="BG896" s="15"/>
      <c r="BH896" s="15"/>
      <c r="BI896" s="15"/>
    </row>
    <row r="897" spans="1:61" ht="15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7"/>
      <c r="O897" s="17"/>
      <c r="P897" s="15"/>
      <c r="Q897" s="15"/>
      <c r="R897" s="15"/>
      <c r="S897" s="15"/>
      <c r="T897" s="15"/>
      <c r="U897" s="15"/>
      <c r="V897" s="17"/>
      <c r="W897" s="17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  <c r="AL897" s="15"/>
      <c r="AM897" s="15"/>
      <c r="AN897" s="15"/>
      <c r="AO897" s="15"/>
      <c r="AP897" s="15"/>
      <c r="AQ897" s="15"/>
      <c r="AR897" s="15"/>
      <c r="AS897" s="15"/>
      <c r="AT897" s="15"/>
      <c r="AU897" s="15"/>
      <c r="AV897" s="15"/>
      <c r="AW897" s="15"/>
      <c r="AX897" s="15"/>
      <c r="AY897" s="15"/>
      <c r="AZ897" s="15"/>
      <c r="BA897" s="15"/>
      <c r="BB897" s="15"/>
      <c r="BC897" s="15"/>
      <c r="BD897" s="15"/>
      <c r="BE897" s="15"/>
      <c r="BF897" s="15"/>
      <c r="BG897" s="15"/>
      <c r="BH897" s="15"/>
      <c r="BI897" s="15"/>
    </row>
    <row r="898" spans="1:61" ht="15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7"/>
      <c r="O898" s="17"/>
      <c r="P898" s="15"/>
      <c r="Q898" s="15"/>
      <c r="R898" s="15"/>
      <c r="S898" s="15"/>
      <c r="T898" s="15"/>
      <c r="U898" s="15"/>
      <c r="V898" s="17"/>
      <c r="W898" s="17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  <c r="AL898" s="15"/>
      <c r="AM898" s="15"/>
      <c r="AN898" s="15"/>
      <c r="AO898" s="15"/>
      <c r="AP898" s="15"/>
      <c r="AQ898" s="15"/>
      <c r="AR898" s="15"/>
      <c r="AS898" s="15"/>
      <c r="AT898" s="15"/>
      <c r="AU898" s="15"/>
      <c r="AV898" s="15"/>
      <c r="AW898" s="15"/>
      <c r="AX898" s="15"/>
      <c r="AY898" s="15"/>
      <c r="AZ898" s="15"/>
      <c r="BA898" s="15"/>
      <c r="BB898" s="15"/>
      <c r="BC898" s="15"/>
      <c r="BD898" s="15"/>
      <c r="BE898" s="15"/>
      <c r="BF898" s="15"/>
      <c r="BG898" s="15"/>
      <c r="BH898" s="15"/>
      <c r="BI898" s="15"/>
    </row>
    <row r="899" spans="1:61" ht="15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7"/>
      <c r="O899" s="17"/>
      <c r="P899" s="15"/>
      <c r="Q899" s="15"/>
      <c r="R899" s="15"/>
      <c r="S899" s="15"/>
      <c r="T899" s="15"/>
      <c r="U899" s="15"/>
      <c r="V899" s="17"/>
      <c r="W899" s="17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  <c r="AM899" s="15"/>
      <c r="AN899" s="15"/>
      <c r="AO899" s="15"/>
      <c r="AP899" s="15"/>
      <c r="AQ899" s="15"/>
      <c r="AR899" s="15"/>
      <c r="AS899" s="15"/>
      <c r="AT899" s="15"/>
      <c r="AU899" s="15"/>
      <c r="AV899" s="15"/>
      <c r="AW899" s="15"/>
      <c r="AX899" s="15"/>
      <c r="AY899" s="15"/>
      <c r="AZ899" s="15"/>
      <c r="BA899" s="15"/>
      <c r="BB899" s="15"/>
      <c r="BC899" s="15"/>
      <c r="BD899" s="15"/>
      <c r="BE899" s="15"/>
      <c r="BF899" s="15"/>
      <c r="BG899" s="15"/>
      <c r="BH899" s="15"/>
      <c r="BI899" s="15"/>
    </row>
    <row r="900" spans="1:61" ht="15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7"/>
      <c r="O900" s="17"/>
      <c r="P900" s="15"/>
      <c r="Q900" s="15"/>
      <c r="R900" s="15"/>
      <c r="S900" s="15"/>
      <c r="T900" s="15"/>
      <c r="U900" s="15"/>
      <c r="V900" s="17"/>
      <c r="W900" s="17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  <c r="AL900" s="15"/>
      <c r="AM900" s="15"/>
      <c r="AN900" s="15"/>
      <c r="AO900" s="15"/>
      <c r="AP900" s="15"/>
      <c r="AQ900" s="15"/>
      <c r="AR900" s="15"/>
      <c r="AS900" s="15"/>
      <c r="AT900" s="15"/>
      <c r="AU900" s="15"/>
      <c r="AV900" s="15"/>
      <c r="AW900" s="15"/>
      <c r="AX900" s="15"/>
      <c r="AY900" s="15"/>
      <c r="AZ900" s="15"/>
      <c r="BA900" s="15"/>
      <c r="BB900" s="15"/>
      <c r="BC900" s="15"/>
      <c r="BD900" s="15"/>
      <c r="BE900" s="15"/>
      <c r="BF900" s="15"/>
      <c r="BG900" s="15"/>
      <c r="BH900" s="15"/>
      <c r="BI900" s="15"/>
    </row>
    <row r="901" spans="1:61" ht="15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7"/>
      <c r="O901" s="17"/>
      <c r="P901" s="15"/>
      <c r="Q901" s="15"/>
      <c r="R901" s="15"/>
      <c r="S901" s="15"/>
      <c r="T901" s="15"/>
      <c r="U901" s="15"/>
      <c r="V901" s="17"/>
      <c r="W901" s="17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  <c r="AL901" s="15"/>
      <c r="AM901" s="15"/>
      <c r="AN901" s="15"/>
      <c r="AO901" s="15"/>
      <c r="AP901" s="15"/>
      <c r="AQ901" s="15"/>
      <c r="AR901" s="15"/>
      <c r="AS901" s="15"/>
      <c r="AT901" s="15"/>
      <c r="AU901" s="15"/>
      <c r="AV901" s="15"/>
      <c r="AW901" s="15"/>
      <c r="AX901" s="15"/>
      <c r="AY901" s="15"/>
      <c r="AZ901" s="15"/>
      <c r="BA901" s="15"/>
      <c r="BB901" s="15"/>
      <c r="BC901" s="15"/>
      <c r="BD901" s="15"/>
      <c r="BE901" s="15"/>
      <c r="BF901" s="15"/>
      <c r="BG901" s="15"/>
      <c r="BH901" s="15"/>
      <c r="BI901" s="15"/>
    </row>
    <row r="902" spans="1:61" ht="15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7"/>
      <c r="O902" s="17"/>
      <c r="P902" s="15"/>
      <c r="Q902" s="15"/>
      <c r="R902" s="15"/>
      <c r="S902" s="15"/>
      <c r="T902" s="15"/>
      <c r="U902" s="15"/>
      <c r="V902" s="17"/>
      <c r="W902" s="17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  <c r="AL902" s="15"/>
      <c r="AM902" s="15"/>
      <c r="AN902" s="15"/>
      <c r="AO902" s="15"/>
      <c r="AP902" s="15"/>
      <c r="AQ902" s="15"/>
      <c r="AR902" s="15"/>
      <c r="AS902" s="15"/>
      <c r="AT902" s="15"/>
      <c r="AU902" s="15"/>
      <c r="AV902" s="15"/>
      <c r="AW902" s="15"/>
      <c r="AX902" s="15"/>
      <c r="AY902" s="15"/>
      <c r="AZ902" s="15"/>
      <c r="BA902" s="15"/>
      <c r="BB902" s="15"/>
      <c r="BC902" s="15"/>
      <c r="BD902" s="15"/>
      <c r="BE902" s="15"/>
      <c r="BF902" s="15"/>
      <c r="BG902" s="15"/>
      <c r="BH902" s="15"/>
      <c r="BI902" s="15"/>
    </row>
    <row r="903" spans="1:61" ht="15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7"/>
      <c r="O903" s="17"/>
      <c r="P903" s="15"/>
      <c r="Q903" s="15"/>
      <c r="R903" s="15"/>
      <c r="S903" s="15"/>
      <c r="T903" s="15"/>
      <c r="U903" s="15"/>
      <c r="V903" s="17"/>
      <c r="W903" s="17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  <c r="AM903" s="15"/>
      <c r="AN903" s="15"/>
      <c r="AO903" s="15"/>
      <c r="AP903" s="15"/>
      <c r="AQ903" s="15"/>
      <c r="AR903" s="15"/>
      <c r="AS903" s="15"/>
      <c r="AT903" s="15"/>
      <c r="AU903" s="15"/>
      <c r="AV903" s="15"/>
      <c r="AW903" s="15"/>
      <c r="AX903" s="15"/>
      <c r="AY903" s="15"/>
      <c r="AZ903" s="15"/>
      <c r="BA903" s="15"/>
      <c r="BB903" s="15"/>
      <c r="BC903" s="15"/>
      <c r="BD903" s="15"/>
      <c r="BE903" s="15"/>
      <c r="BF903" s="15"/>
      <c r="BG903" s="15"/>
      <c r="BH903" s="15"/>
      <c r="BI903" s="15"/>
    </row>
    <row r="904" spans="1:61" ht="15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7"/>
      <c r="O904" s="17"/>
      <c r="P904" s="15"/>
      <c r="Q904" s="15"/>
      <c r="R904" s="15"/>
      <c r="S904" s="15"/>
      <c r="T904" s="15"/>
      <c r="U904" s="15"/>
      <c r="V904" s="17"/>
      <c r="W904" s="17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  <c r="AL904" s="15"/>
      <c r="AM904" s="15"/>
      <c r="AN904" s="15"/>
      <c r="AO904" s="15"/>
      <c r="AP904" s="15"/>
      <c r="AQ904" s="15"/>
      <c r="AR904" s="15"/>
      <c r="AS904" s="15"/>
      <c r="AT904" s="15"/>
      <c r="AU904" s="15"/>
      <c r="AV904" s="15"/>
      <c r="AW904" s="15"/>
      <c r="AX904" s="15"/>
      <c r="AY904" s="15"/>
      <c r="AZ904" s="15"/>
      <c r="BA904" s="15"/>
      <c r="BB904" s="15"/>
      <c r="BC904" s="15"/>
      <c r="BD904" s="15"/>
      <c r="BE904" s="15"/>
      <c r="BF904" s="15"/>
      <c r="BG904" s="15"/>
      <c r="BH904" s="15"/>
      <c r="BI904" s="15"/>
    </row>
    <row r="905" spans="1:61" ht="15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7"/>
      <c r="O905" s="17"/>
      <c r="P905" s="15"/>
      <c r="Q905" s="15"/>
      <c r="R905" s="15"/>
      <c r="S905" s="15"/>
      <c r="T905" s="15"/>
      <c r="U905" s="15"/>
      <c r="V905" s="17"/>
      <c r="W905" s="17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  <c r="AL905" s="15"/>
      <c r="AM905" s="15"/>
      <c r="AN905" s="15"/>
      <c r="AO905" s="15"/>
      <c r="AP905" s="15"/>
      <c r="AQ905" s="15"/>
      <c r="AR905" s="15"/>
      <c r="AS905" s="15"/>
      <c r="AT905" s="15"/>
      <c r="AU905" s="15"/>
      <c r="AV905" s="15"/>
      <c r="AW905" s="15"/>
      <c r="AX905" s="15"/>
      <c r="AY905" s="15"/>
      <c r="AZ905" s="15"/>
      <c r="BA905" s="15"/>
      <c r="BB905" s="15"/>
      <c r="BC905" s="15"/>
      <c r="BD905" s="15"/>
      <c r="BE905" s="15"/>
      <c r="BF905" s="15"/>
      <c r="BG905" s="15"/>
      <c r="BH905" s="15"/>
      <c r="BI905" s="15"/>
    </row>
    <row r="906" spans="1:61" ht="15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7"/>
      <c r="O906" s="17"/>
      <c r="P906" s="15"/>
      <c r="Q906" s="15"/>
      <c r="R906" s="15"/>
      <c r="S906" s="15"/>
      <c r="T906" s="15"/>
      <c r="U906" s="15"/>
      <c r="V906" s="17"/>
      <c r="W906" s="17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  <c r="AL906" s="15"/>
      <c r="AM906" s="15"/>
      <c r="AN906" s="15"/>
      <c r="AO906" s="15"/>
      <c r="AP906" s="15"/>
      <c r="AQ906" s="15"/>
      <c r="AR906" s="15"/>
      <c r="AS906" s="15"/>
      <c r="AT906" s="15"/>
      <c r="AU906" s="15"/>
      <c r="AV906" s="15"/>
      <c r="AW906" s="15"/>
      <c r="AX906" s="15"/>
      <c r="AY906" s="15"/>
      <c r="AZ906" s="15"/>
      <c r="BA906" s="15"/>
      <c r="BB906" s="15"/>
      <c r="BC906" s="15"/>
      <c r="BD906" s="15"/>
      <c r="BE906" s="15"/>
      <c r="BF906" s="15"/>
      <c r="BG906" s="15"/>
      <c r="BH906" s="15"/>
      <c r="BI906" s="15"/>
    </row>
    <row r="907" spans="1:61" ht="15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7"/>
      <c r="O907" s="17"/>
      <c r="P907" s="15"/>
      <c r="Q907" s="15"/>
      <c r="R907" s="15"/>
      <c r="S907" s="15"/>
      <c r="T907" s="15"/>
      <c r="U907" s="15"/>
      <c r="V907" s="17"/>
      <c r="W907" s="17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  <c r="AL907" s="15"/>
      <c r="AM907" s="15"/>
      <c r="AN907" s="15"/>
      <c r="AO907" s="15"/>
      <c r="AP907" s="15"/>
      <c r="AQ907" s="15"/>
      <c r="AR907" s="15"/>
      <c r="AS907" s="15"/>
      <c r="AT907" s="15"/>
      <c r="AU907" s="15"/>
      <c r="AV907" s="15"/>
      <c r="AW907" s="15"/>
      <c r="AX907" s="15"/>
      <c r="AY907" s="15"/>
      <c r="AZ907" s="15"/>
      <c r="BA907" s="15"/>
      <c r="BB907" s="15"/>
      <c r="BC907" s="15"/>
      <c r="BD907" s="15"/>
      <c r="BE907" s="15"/>
      <c r="BF907" s="15"/>
      <c r="BG907" s="15"/>
      <c r="BH907" s="15"/>
      <c r="BI907" s="15"/>
    </row>
    <row r="908" spans="1:61" ht="15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7"/>
      <c r="O908" s="17"/>
      <c r="P908" s="15"/>
      <c r="Q908" s="15"/>
      <c r="R908" s="15"/>
      <c r="S908" s="15"/>
      <c r="T908" s="15"/>
      <c r="U908" s="15"/>
      <c r="V908" s="17"/>
      <c r="W908" s="17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  <c r="AL908" s="15"/>
      <c r="AM908" s="15"/>
      <c r="AN908" s="15"/>
      <c r="AO908" s="15"/>
      <c r="AP908" s="15"/>
      <c r="AQ908" s="15"/>
      <c r="AR908" s="15"/>
      <c r="AS908" s="15"/>
      <c r="AT908" s="15"/>
      <c r="AU908" s="15"/>
      <c r="AV908" s="15"/>
      <c r="AW908" s="15"/>
      <c r="AX908" s="15"/>
      <c r="AY908" s="15"/>
      <c r="AZ908" s="15"/>
      <c r="BA908" s="15"/>
      <c r="BB908" s="15"/>
      <c r="BC908" s="15"/>
      <c r="BD908" s="15"/>
      <c r="BE908" s="15"/>
      <c r="BF908" s="15"/>
      <c r="BG908" s="15"/>
      <c r="BH908" s="15"/>
      <c r="BI908" s="15"/>
    </row>
    <row r="909" spans="1:61" ht="15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7"/>
      <c r="O909" s="17"/>
      <c r="P909" s="15"/>
      <c r="Q909" s="15"/>
      <c r="R909" s="15"/>
      <c r="S909" s="15"/>
      <c r="T909" s="15"/>
      <c r="U909" s="15"/>
      <c r="V909" s="17"/>
      <c r="W909" s="17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  <c r="AL909" s="15"/>
      <c r="AM909" s="15"/>
      <c r="AN909" s="15"/>
      <c r="AO909" s="15"/>
      <c r="AP909" s="15"/>
      <c r="AQ909" s="15"/>
      <c r="AR909" s="15"/>
      <c r="AS909" s="15"/>
      <c r="AT909" s="15"/>
      <c r="AU909" s="15"/>
      <c r="AV909" s="15"/>
      <c r="AW909" s="15"/>
      <c r="AX909" s="15"/>
      <c r="AY909" s="15"/>
      <c r="AZ909" s="15"/>
      <c r="BA909" s="15"/>
      <c r="BB909" s="15"/>
      <c r="BC909" s="15"/>
      <c r="BD909" s="15"/>
      <c r="BE909" s="15"/>
      <c r="BF909" s="15"/>
      <c r="BG909" s="15"/>
      <c r="BH909" s="15"/>
      <c r="BI909" s="15"/>
    </row>
    <row r="910" spans="1:61" ht="15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7"/>
      <c r="O910" s="17"/>
      <c r="P910" s="15"/>
      <c r="Q910" s="15"/>
      <c r="R910" s="15"/>
      <c r="S910" s="15"/>
      <c r="T910" s="15"/>
      <c r="U910" s="15"/>
      <c r="V910" s="17"/>
      <c r="W910" s="17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  <c r="AK910" s="15"/>
      <c r="AL910" s="15"/>
      <c r="AM910" s="15"/>
      <c r="AN910" s="15"/>
      <c r="AO910" s="15"/>
      <c r="AP910" s="15"/>
      <c r="AQ910" s="15"/>
      <c r="AR910" s="15"/>
      <c r="AS910" s="15"/>
      <c r="AT910" s="15"/>
      <c r="AU910" s="15"/>
      <c r="AV910" s="15"/>
      <c r="AW910" s="15"/>
      <c r="AX910" s="15"/>
      <c r="AY910" s="15"/>
      <c r="AZ910" s="15"/>
      <c r="BA910" s="15"/>
      <c r="BB910" s="15"/>
      <c r="BC910" s="15"/>
      <c r="BD910" s="15"/>
      <c r="BE910" s="15"/>
      <c r="BF910" s="15"/>
      <c r="BG910" s="15"/>
      <c r="BH910" s="15"/>
      <c r="BI910" s="15"/>
    </row>
    <row r="911" spans="1:61" ht="15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7"/>
      <c r="O911" s="17"/>
      <c r="P911" s="15"/>
      <c r="Q911" s="15"/>
      <c r="R911" s="15"/>
      <c r="S911" s="15"/>
      <c r="T911" s="15"/>
      <c r="U911" s="15"/>
      <c r="V911" s="17"/>
      <c r="W911" s="17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  <c r="AL911" s="15"/>
      <c r="AM911" s="15"/>
      <c r="AN911" s="15"/>
      <c r="AO911" s="15"/>
      <c r="AP911" s="15"/>
      <c r="AQ911" s="15"/>
      <c r="AR911" s="15"/>
      <c r="AS911" s="15"/>
      <c r="AT911" s="15"/>
      <c r="AU911" s="15"/>
      <c r="AV911" s="15"/>
      <c r="AW911" s="15"/>
      <c r="AX911" s="15"/>
      <c r="AY911" s="15"/>
      <c r="AZ911" s="15"/>
      <c r="BA911" s="15"/>
      <c r="BB911" s="15"/>
      <c r="BC911" s="15"/>
      <c r="BD911" s="15"/>
      <c r="BE911" s="15"/>
      <c r="BF911" s="15"/>
      <c r="BG911" s="15"/>
      <c r="BH911" s="15"/>
      <c r="BI911" s="15"/>
    </row>
    <row r="912" spans="1:61" ht="15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7"/>
      <c r="O912" s="17"/>
      <c r="P912" s="15"/>
      <c r="Q912" s="15"/>
      <c r="R912" s="15"/>
      <c r="S912" s="15"/>
      <c r="T912" s="15"/>
      <c r="U912" s="15"/>
      <c r="V912" s="17"/>
      <c r="W912" s="17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  <c r="AL912" s="15"/>
      <c r="AM912" s="15"/>
      <c r="AN912" s="15"/>
      <c r="AO912" s="15"/>
      <c r="AP912" s="15"/>
      <c r="AQ912" s="15"/>
      <c r="AR912" s="15"/>
      <c r="AS912" s="15"/>
      <c r="AT912" s="15"/>
      <c r="AU912" s="15"/>
      <c r="AV912" s="15"/>
      <c r="AW912" s="15"/>
      <c r="AX912" s="15"/>
      <c r="AY912" s="15"/>
      <c r="AZ912" s="15"/>
      <c r="BA912" s="15"/>
      <c r="BB912" s="15"/>
      <c r="BC912" s="15"/>
      <c r="BD912" s="15"/>
      <c r="BE912" s="15"/>
      <c r="BF912" s="15"/>
      <c r="BG912" s="15"/>
      <c r="BH912" s="15"/>
      <c r="BI912" s="15"/>
    </row>
    <row r="913" spans="1:61" ht="15.7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7"/>
      <c r="O913" s="17"/>
      <c r="P913" s="15"/>
      <c r="Q913" s="15"/>
      <c r="R913" s="15"/>
      <c r="S913" s="15"/>
      <c r="T913" s="15"/>
      <c r="U913" s="15"/>
      <c r="V913" s="17"/>
      <c r="W913" s="17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  <c r="AL913" s="15"/>
      <c r="AM913" s="15"/>
      <c r="AN913" s="15"/>
      <c r="AO913" s="15"/>
      <c r="AP913" s="15"/>
      <c r="AQ913" s="15"/>
      <c r="AR913" s="15"/>
      <c r="AS913" s="15"/>
      <c r="AT913" s="15"/>
      <c r="AU913" s="15"/>
      <c r="AV913" s="15"/>
      <c r="AW913" s="15"/>
      <c r="AX913" s="15"/>
      <c r="AY913" s="15"/>
      <c r="AZ913" s="15"/>
      <c r="BA913" s="15"/>
      <c r="BB913" s="15"/>
      <c r="BC913" s="15"/>
      <c r="BD913" s="15"/>
      <c r="BE913" s="15"/>
      <c r="BF913" s="15"/>
      <c r="BG913" s="15"/>
      <c r="BH913" s="15"/>
      <c r="BI913" s="15"/>
    </row>
    <row r="914" spans="1:61" ht="15.7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7"/>
      <c r="O914" s="17"/>
      <c r="P914" s="15"/>
      <c r="Q914" s="15"/>
      <c r="R914" s="15"/>
      <c r="S914" s="15"/>
      <c r="T914" s="15"/>
      <c r="U914" s="15"/>
      <c r="V914" s="17"/>
      <c r="W914" s="17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  <c r="AL914" s="15"/>
      <c r="AM914" s="15"/>
      <c r="AN914" s="15"/>
      <c r="AO914" s="15"/>
      <c r="AP914" s="15"/>
      <c r="AQ914" s="15"/>
      <c r="AR914" s="15"/>
      <c r="AS914" s="15"/>
      <c r="AT914" s="15"/>
      <c r="AU914" s="15"/>
      <c r="AV914" s="15"/>
      <c r="AW914" s="15"/>
      <c r="AX914" s="15"/>
      <c r="AY914" s="15"/>
      <c r="AZ914" s="15"/>
      <c r="BA914" s="15"/>
      <c r="BB914" s="15"/>
      <c r="BC914" s="15"/>
      <c r="BD914" s="15"/>
      <c r="BE914" s="15"/>
      <c r="BF914" s="15"/>
      <c r="BG914" s="15"/>
      <c r="BH914" s="15"/>
      <c r="BI914" s="15"/>
    </row>
    <row r="915" spans="1:61" ht="15.7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7"/>
      <c r="O915" s="17"/>
      <c r="P915" s="15"/>
      <c r="Q915" s="15"/>
      <c r="R915" s="15"/>
      <c r="S915" s="15"/>
      <c r="T915" s="15"/>
      <c r="U915" s="15"/>
      <c r="V915" s="17"/>
      <c r="W915" s="17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  <c r="AM915" s="15"/>
      <c r="AN915" s="15"/>
      <c r="AO915" s="15"/>
      <c r="AP915" s="15"/>
      <c r="AQ915" s="15"/>
      <c r="AR915" s="15"/>
      <c r="AS915" s="15"/>
      <c r="AT915" s="15"/>
      <c r="AU915" s="15"/>
      <c r="AV915" s="15"/>
      <c r="AW915" s="15"/>
      <c r="AX915" s="15"/>
      <c r="AY915" s="15"/>
      <c r="AZ915" s="15"/>
      <c r="BA915" s="15"/>
      <c r="BB915" s="15"/>
      <c r="BC915" s="15"/>
      <c r="BD915" s="15"/>
      <c r="BE915" s="15"/>
      <c r="BF915" s="15"/>
      <c r="BG915" s="15"/>
      <c r="BH915" s="15"/>
      <c r="BI915" s="15"/>
    </row>
    <row r="916" spans="1:61" ht="15.7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7"/>
      <c r="O916" s="17"/>
      <c r="P916" s="15"/>
      <c r="Q916" s="15"/>
      <c r="R916" s="15"/>
      <c r="S916" s="15"/>
      <c r="T916" s="15"/>
      <c r="U916" s="15"/>
      <c r="V916" s="17"/>
      <c r="W916" s="17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  <c r="AL916" s="15"/>
      <c r="AM916" s="15"/>
      <c r="AN916" s="15"/>
      <c r="AO916" s="15"/>
      <c r="AP916" s="15"/>
      <c r="AQ916" s="15"/>
      <c r="AR916" s="15"/>
      <c r="AS916" s="15"/>
      <c r="AT916" s="15"/>
      <c r="AU916" s="15"/>
      <c r="AV916" s="15"/>
      <c r="AW916" s="15"/>
      <c r="AX916" s="15"/>
      <c r="AY916" s="15"/>
      <c r="AZ916" s="15"/>
      <c r="BA916" s="15"/>
      <c r="BB916" s="15"/>
      <c r="BC916" s="15"/>
      <c r="BD916" s="15"/>
      <c r="BE916" s="15"/>
      <c r="BF916" s="15"/>
      <c r="BG916" s="15"/>
      <c r="BH916" s="15"/>
      <c r="BI916" s="15"/>
    </row>
    <row r="917" spans="1:61" ht="15.7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7"/>
      <c r="O917" s="17"/>
      <c r="P917" s="15"/>
      <c r="Q917" s="15"/>
      <c r="R917" s="15"/>
      <c r="S917" s="15"/>
      <c r="T917" s="15"/>
      <c r="U917" s="15"/>
      <c r="V917" s="17"/>
      <c r="W917" s="17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  <c r="AL917" s="15"/>
      <c r="AM917" s="15"/>
      <c r="AN917" s="15"/>
      <c r="AO917" s="15"/>
      <c r="AP917" s="15"/>
      <c r="AQ917" s="15"/>
      <c r="AR917" s="15"/>
      <c r="AS917" s="15"/>
      <c r="AT917" s="15"/>
      <c r="AU917" s="15"/>
      <c r="AV917" s="15"/>
      <c r="AW917" s="15"/>
      <c r="AX917" s="15"/>
      <c r="AY917" s="15"/>
      <c r="AZ917" s="15"/>
      <c r="BA917" s="15"/>
      <c r="BB917" s="15"/>
      <c r="BC917" s="15"/>
      <c r="BD917" s="15"/>
      <c r="BE917" s="15"/>
      <c r="BF917" s="15"/>
      <c r="BG917" s="15"/>
      <c r="BH917" s="15"/>
      <c r="BI917" s="15"/>
    </row>
    <row r="918" spans="1:61" ht="15.7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7"/>
      <c r="O918" s="17"/>
      <c r="P918" s="15"/>
      <c r="Q918" s="15"/>
      <c r="R918" s="15"/>
      <c r="S918" s="15"/>
      <c r="T918" s="15"/>
      <c r="U918" s="15"/>
      <c r="V918" s="17"/>
      <c r="W918" s="17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  <c r="AL918" s="15"/>
      <c r="AM918" s="15"/>
      <c r="AN918" s="15"/>
      <c r="AO918" s="15"/>
      <c r="AP918" s="15"/>
      <c r="AQ918" s="15"/>
      <c r="AR918" s="15"/>
      <c r="AS918" s="15"/>
      <c r="AT918" s="15"/>
      <c r="AU918" s="15"/>
      <c r="AV918" s="15"/>
      <c r="AW918" s="15"/>
      <c r="AX918" s="15"/>
      <c r="AY918" s="15"/>
      <c r="AZ918" s="15"/>
      <c r="BA918" s="15"/>
      <c r="BB918" s="15"/>
      <c r="BC918" s="15"/>
      <c r="BD918" s="15"/>
      <c r="BE918" s="15"/>
      <c r="BF918" s="15"/>
      <c r="BG918" s="15"/>
      <c r="BH918" s="15"/>
      <c r="BI918" s="15"/>
    </row>
    <row r="919" spans="1:61" ht="15.7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7"/>
      <c r="O919" s="17"/>
      <c r="P919" s="15"/>
      <c r="Q919" s="15"/>
      <c r="R919" s="15"/>
      <c r="S919" s="15"/>
      <c r="T919" s="15"/>
      <c r="U919" s="15"/>
      <c r="V919" s="17"/>
      <c r="W919" s="17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  <c r="AL919" s="15"/>
      <c r="AM919" s="15"/>
      <c r="AN919" s="15"/>
      <c r="AO919" s="15"/>
      <c r="AP919" s="15"/>
      <c r="AQ919" s="15"/>
      <c r="AR919" s="15"/>
      <c r="AS919" s="15"/>
      <c r="AT919" s="15"/>
      <c r="AU919" s="15"/>
      <c r="AV919" s="15"/>
      <c r="AW919" s="15"/>
      <c r="AX919" s="15"/>
      <c r="AY919" s="15"/>
      <c r="AZ919" s="15"/>
      <c r="BA919" s="15"/>
      <c r="BB919" s="15"/>
      <c r="BC919" s="15"/>
      <c r="BD919" s="15"/>
      <c r="BE919" s="15"/>
      <c r="BF919" s="15"/>
      <c r="BG919" s="15"/>
      <c r="BH919" s="15"/>
      <c r="BI919" s="15"/>
    </row>
    <row r="920" spans="1:61" ht="15.7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7"/>
      <c r="O920" s="17"/>
      <c r="P920" s="15"/>
      <c r="Q920" s="15"/>
      <c r="R920" s="15"/>
      <c r="S920" s="15"/>
      <c r="T920" s="15"/>
      <c r="U920" s="15"/>
      <c r="V920" s="17"/>
      <c r="W920" s="17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  <c r="AL920" s="15"/>
      <c r="AM920" s="15"/>
      <c r="AN920" s="15"/>
      <c r="AO920" s="15"/>
      <c r="AP920" s="15"/>
      <c r="AQ920" s="15"/>
      <c r="AR920" s="15"/>
      <c r="AS920" s="15"/>
      <c r="AT920" s="15"/>
      <c r="AU920" s="15"/>
      <c r="AV920" s="15"/>
      <c r="AW920" s="15"/>
      <c r="AX920" s="15"/>
      <c r="AY920" s="15"/>
      <c r="AZ920" s="15"/>
      <c r="BA920" s="15"/>
      <c r="BB920" s="15"/>
      <c r="BC920" s="15"/>
      <c r="BD920" s="15"/>
      <c r="BE920" s="15"/>
      <c r="BF920" s="15"/>
      <c r="BG920" s="15"/>
      <c r="BH920" s="15"/>
      <c r="BI920" s="15"/>
    </row>
    <row r="921" spans="1:61" ht="15.7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7"/>
      <c r="O921" s="17"/>
      <c r="P921" s="15"/>
      <c r="Q921" s="15"/>
      <c r="R921" s="15"/>
      <c r="S921" s="15"/>
      <c r="T921" s="15"/>
      <c r="U921" s="15"/>
      <c r="V921" s="17"/>
      <c r="W921" s="17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  <c r="AL921" s="15"/>
      <c r="AM921" s="15"/>
      <c r="AN921" s="15"/>
      <c r="AO921" s="15"/>
      <c r="AP921" s="15"/>
      <c r="AQ921" s="15"/>
      <c r="AR921" s="15"/>
      <c r="AS921" s="15"/>
      <c r="AT921" s="15"/>
      <c r="AU921" s="15"/>
      <c r="AV921" s="15"/>
      <c r="AW921" s="15"/>
      <c r="AX921" s="15"/>
      <c r="AY921" s="15"/>
      <c r="AZ921" s="15"/>
      <c r="BA921" s="15"/>
      <c r="BB921" s="15"/>
      <c r="BC921" s="15"/>
      <c r="BD921" s="15"/>
      <c r="BE921" s="15"/>
      <c r="BF921" s="15"/>
      <c r="BG921" s="15"/>
      <c r="BH921" s="15"/>
      <c r="BI921" s="15"/>
    </row>
    <row r="922" spans="1:61" ht="15.7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7"/>
      <c r="O922" s="17"/>
      <c r="P922" s="15"/>
      <c r="Q922" s="15"/>
      <c r="R922" s="15"/>
      <c r="S922" s="15"/>
      <c r="T922" s="15"/>
      <c r="U922" s="15"/>
      <c r="V922" s="17"/>
      <c r="W922" s="17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  <c r="AL922" s="15"/>
      <c r="AM922" s="15"/>
      <c r="AN922" s="15"/>
      <c r="AO922" s="15"/>
      <c r="AP922" s="15"/>
      <c r="AQ922" s="15"/>
      <c r="AR922" s="15"/>
      <c r="AS922" s="15"/>
      <c r="AT922" s="15"/>
      <c r="AU922" s="15"/>
      <c r="AV922" s="15"/>
      <c r="AW922" s="15"/>
      <c r="AX922" s="15"/>
      <c r="AY922" s="15"/>
      <c r="AZ922" s="15"/>
      <c r="BA922" s="15"/>
      <c r="BB922" s="15"/>
      <c r="BC922" s="15"/>
      <c r="BD922" s="15"/>
      <c r="BE922" s="15"/>
      <c r="BF922" s="15"/>
      <c r="BG922" s="15"/>
      <c r="BH922" s="15"/>
      <c r="BI922" s="15"/>
    </row>
    <row r="923" spans="1:61" ht="15.7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7"/>
      <c r="O923" s="17"/>
      <c r="P923" s="15"/>
      <c r="Q923" s="15"/>
      <c r="R923" s="15"/>
      <c r="S923" s="15"/>
      <c r="T923" s="15"/>
      <c r="U923" s="15"/>
      <c r="V923" s="17"/>
      <c r="W923" s="17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  <c r="AM923" s="15"/>
      <c r="AN923" s="15"/>
      <c r="AO923" s="15"/>
      <c r="AP923" s="15"/>
      <c r="AQ923" s="15"/>
      <c r="AR923" s="15"/>
      <c r="AS923" s="15"/>
      <c r="AT923" s="15"/>
      <c r="AU923" s="15"/>
      <c r="AV923" s="15"/>
      <c r="AW923" s="15"/>
      <c r="AX923" s="15"/>
      <c r="AY923" s="15"/>
      <c r="AZ923" s="15"/>
      <c r="BA923" s="15"/>
      <c r="BB923" s="15"/>
      <c r="BC923" s="15"/>
      <c r="BD923" s="15"/>
      <c r="BE923" s="15"/>
      <c r="BF923" s="15"/>
      <c r="BG923" s="15"/>
      <c r="BH923" s="15"/>
      <c r="BI923" s="15"/>
    </row>
    <row r="924" spans="1:61" ht="15.7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7"/>
      <c r="O924" s="17"/>
      <c r="P924" s="15"/>
      <c r="Q924" s="15"/>
      <c r="R924" s="15"/>
      <c r="S924" s="15"/>
      <c r="T924" s="15"/>
      <c r="U924" s="15"/>
      <c r="V924" s="17"/>
      <c r="W924" s="17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  <c r="AL924" s="15"/>
      <c r="AM924" s="15"/>
      <c r="AN924" s="15"/>
      <c r="AO924" s="15"/>
      <c r="AP924" s="15"/>
      <c r="AQ924" s="15"/>
      <c r="AR924" s="15"/>
      <c r="AS924" s="15"/>
      <c r="AT924" s="15"/>
      <c r="AU924" s="15"/>
      <c r="AV924" s="15"/>
      <c r="AW924" s="15"/>
      <c r="AX924" s="15"/>
      <c r="AY924" s="15"/>
      <c r="AZ924" s="15"/>
      <c r="BA924" s="15"/>
      <c r="BB924" s="15"/>
      <c r="BC924" s="15"/>
      <c r="BD924" s="15"/>
      <c r="BE924" s="15"/>
      <c r="BF924" s="15"/>
      <c r="BG924" s="15"/>
      <c r="BH924" s="15"/>
      <c r="BI924" s="15"/>
    </row>
    <row r="925" spans="1:61" ht="15.7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7"/>
      <c r="O925" s="17"/>
      <c r="P925" s="15"/>
      <c r="Q925" s="15"/>
      <c r="R925" s="15"/>
      <c r="S925" s="15"/>
      <c r="T925" s="15"/>
      <c r="U925" s="15"/>
      <c r="V925" s="17"/>
      <c r="W925" s="17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/>
      <c r="AM925" s="15"/>
      <c r="AN925" s="15"/>
      <c r="AO925" s="15"/>
      <c r="AP925" s="15"/>
      <c r="AQ925" s="15"/>
      <c r="AR925" s="15"/>
      <c r="AS925" s="15"/>
      <c r="AT925" s="15"/>
      <c r="AU925" s="15"/>
      <c r="AV925" s="15"/>
      <c r="AW925" s="15"/>
      <c r="AX925" s="15"/>
      <c r="AY925" s="15"/>
      <c r="AZ925" s="15"/>
      <c r="BA925" s="15"/>
      <c r="BB925" s="15"/>
      <c r="BC925" s="15"/>
      <c r="BD925" s="15"/>
      <c r="BE925" s="15"/>
      <c r="BF925" s="15"/>
      <c r="BG925" s="15"/>
      <c r="BH925" s="15"/>
      <c r="BI925" s="15"/>
    </row>
    <row r="926" spans="1:61" ht="15.7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7"/>
      <c r="O926" s="17"/>
      <c r="P926" s="15"/>
      <c r="Q926" s="15"/>
      <c r="R926" s="15"/>
      <c r="S926" s="15"/>
      <c r="T926" s="15"/>
      <c r="U926" s="15"/>
      <c r="V926" s="17"/>
      <c r="W926" s="17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  <c r="AL926" s="15"/>
      <c r="AM926" s="15"/>
      <c r="AN926" s="15"/>
      <c r="AO926" s="15"/>
      <c r="AP926" s="15"/>
      <c r="AQ926" s="15"/>
      <c r="AR926" s="15"/>
      <c r="AS926" s="15"/>
      <c r="AT926" s="15"/>
      <c r="AU926" s="15"/>
      <c r="AV926" s="15"/>
      <c r="AW926" s="15"/>
      <c r="AX926" s="15"/>
      <c r="AY926" s="15"/>
      <c r="AZ926" s="15"/>
      <c r="BA926" s="15"/>
      <c r="BB926" s="15"/>
      <c r="BC926" s="15"/>
      <c r="BD926" s="15"/>
      <c r="BE926" s="15"/>
      <c r="BF926" s="15"/>
      <c r="BG926" s="15"/>
      <c r="BH926" s="15"/>
      <c r="BI926" s="15"/>
    </row>
    <row r="927" spans="1:61" ht="15.7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7"/>
      <c r="O927" s="17"/>
      <c r="P927" s="15"/>
      <c r="Q927" s="15"/>
      <c r="R927" s="15"/>
      <c r="S927" s="15"/>
      <c r="T927" s="15"/>
      <c r="U927" s="15"/>
      <c r="V927" s="17"/>
      <c r="W927" s="17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  <c r="AL927" s="15"/>
      <c r="AM927" s="15"/>
      <c r="AN927" s="15"/>
      <c r="AO927" s="15"/>
      <c r="AP927" s="15"/>
      <c r="AQ927" s="15"/>
      <c r="AR927" s="15"/>
      <c r="AS927" s="15"/>
      <c r="AT927" s="15"/>
      <c r="AU927" s="15"/>
      <c r="AV927" s="15"/>
      <c r="AW927" s="15"/>
      <c r="AX927" s="15"/>
      <c r="AY927" s="15"/>
      <c r="AZ927" s="15"/>
      <c r="BA927" s="15"/>
      <c r="BB927" s="15"/>
      <c r="BC927" s="15"/>
      <c r="BD927" s="15"/>
      <c r="BE927" s="15"/>
      <c r="BF927" s="15"/>
      <c r="BG927" s="15"/>
      <c r="BH927" s="15"/>
      <c r="BI927" s="15"/>
    </row>
    <row r="928" spans="1:61" ht="15.7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7"/>
      <c r="O928" s="17"/>
      <c r="P928" s="15"/>
      <c r="Q928" s="15"/>
      <c r="R928" s="15"/>
      <c r="S928" s="15"/>
      <c r="T928" s="15"/>
      <c r="U928" s="15"/>
      <c r="V928" s="17"/>
      <c r="W928" s="17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  <c r="AL928" s="15"/>
      <c r="AM928" s="15"/>
      <c r="AN928" s="15"/>
      <c r="AO928" s="15"/>
      <c r="AP928" s="15"/>
      <c r="AQ928" s="15"/>
      <c r="AR928" s="15"/>
      <c r="AS928" s="15"/>
      <c r="AT928" s="15"/>
      <c r="AU928" s="15"/>
      <c r="AV928" s="15"/>
      <c r="AW928" s="15"/>
      <c r="AX928" s="15"/>
      <c r="AY928" s="15"/>
      <c r="AZ928" s="15"/>
      <c r="BA928" s="15"/>
      <c r="BB928" s="15"/>
      <c r="BC928" s="15"/>
      <c r="BD928" s="15"/>
      <c r="BE928" s="15"/>
      <c r="BF928" s="15"/>
      <c r="BG928" s="15"/>
      <c r="BH928" s="15"/>
      <c r="BI928" s="15"/>
    </row>
    <row r="929" spans="1:61" ht="15.7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7"/>
      <c r="O929" s="17"/>
      <c r="P929" s="15"/>
      <c r="Q929" s="15"/>
      <c r="R929" s="15"/>
      <c r="S929" s="15"/>
      <c r="T929" s="15"/>
      <c r="U929" s="15"/>
      <c r="V929" s="17"/>
      <c r="W929" s="17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  <c r="AL929" s="15"/>
      <c r="AM929" s="15"/>
      <c r="AN929" s="15"/>
      <c r="AO929" s="15"/>
      <c r="AP929" s="15"/>
      <c r="AQ929" s="15"/>
      <c r="AR929" s="15"/>
      <c r="AS929" s="15"/>
      <c r="AT929" s="15"/>
      <c r="AU929" s="15"/>
      <c r="AV929" s="15"/>
      <c r="AW929" s="15"/>
      <c r="AX929" s="15"/>
      <c r="AY929" s="15"/>
      <c r="AZ929" s="15"/>
      <c r="BA929" s="15"/>
      <c r="BB929" s="15"/>
      <c r="BC929" s="15"/>
      <c r="BD929" s="15"/>
      <c r="BE929" s="15"/>
      <c r="BF929" s="15"/>
      <c r="BG929" s="15"/>
      <c r="BH929" s="15"/>
      <c r="BI929" s="15"/>
    </row>
    <row r="930" spans="1:61" ht="15.7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7"/>
      <c r="O930" s="17"/>
      <c r="P930" s="15"/>
      <c r="Q930" s="15"/>
      <c r="R930" s="15"/>
      <c r="S930" s="15"/>
      <c r="T930" s="15"/>
      <c r="U930" s="15"/>
      <c r="V930" s="17"/>
      <c r="W930" s="17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  <c r="AL930" s="15"/>
      <c r="AM930" s="15"/>
      <c r="AN930" s="15"/>
      <c r="AO930" s="15"/>
      <c r="AP930" s="15"/>
      <c r="AQ930" s="15"/>
      <c r="AR930" s="15"/>
      <c r="AS930" s="15"/>
      <c r="AT930" s="15"/>
      <c r="AU930" s="15"/>
      <c r="AV930" s="15"/>
      <c r="AW930" s="15"/>
      <c r="AX930" s="15"/>
      <c r="AY930" s="15"/>
      <c r="AZ930" s="15"/>
      <c r="BA930" s="15"/>
      <c r="BB930" s="15"/>
      <c r="BC930" s="15"/>
      <c r="BD930" s="15"/>
      <c r="BE930" s="15"/>
      <c r="BF930" s="15"/>
      <c r="BG930" s="15"/>
      <c r="BH930" s="15"/>
      <c r="BI930" s="15"/>
    </row>
    <row r="931" spans="1:61" ht="15.7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7"/>
      <c r="O931" s="17"/>
      <c r="P931" s="15"/>
      <c r="Q931" s="15"/>
      <c r="R931" s="15"/>
      <c r="S931" s="15"/>
      <c r="T931" s="15"/>
      <c r="U931" s="15"/>
      <c r="V931" s="17"/>
      <c r="W931" s="17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  <c r="AL931" s="15"/>
      <c r="AM931" s="15"/>
      <c r="AN931" s="15"/>
      <c r="AO931" s="15"/>
      <c r="AP931" s="15"/>
      <c r="AQ931" s="15"/>
      <c r="AR931" s="15"/>
      <c r="AS931" s="15"/>
      <c r="AT931" s="15"/>
      <c r="AU931" s="15"/>
      <c r="AV931" s="15"/>
      <c r="AW931" s="15"/>
      <c r="AX931" s="15"/>
      <c r="AY931" s="15"/>
      <c r="AZ931" s="15"/>
      <c r="BA931" s="15"/>
      <c r="BB931" s="15"/>
      <c r="BC931" s="15"/>
      <c r="BD931" s="15"/>
      <c r="BE931" s="15"/>
      <c r="BF931" s="15"/>
      <c r="BG931" s="15"/>
      <c r="BH931" s="15"/>
      <c r="BI931" s="15"/>
    </row>
    <row r="932" spans="1:61" ht="15.7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7"/>
      <c r="O932" s="17"/>
      <c r="P932" s="15"/>
      <c r="Q932" s="15"/>
      <c r="R932" s="15"/>
      <c r="S932" s="15"/>
      <c r="T932" s="15"/>
      <c r="U932" s="15"/>
      <c r="V932" s="17"/>
      <c r="W932" s="17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  <c r="AL932" s="15"/>
      <c r="AM932" s="15"/>
      <c r="AN932" s="15"/>
      <c r="AO932" s="15"/>
      <c r="AP932" s="15"/>
      <c r="AQ932" s="15"/>
      <c r="AR932" s="15"/>
      <c r="AS932" s="15"/>
      <c r="AT932" s="15"/>
      <c r="AU932" s="15"/>
      <c r="AV932" s="15"/>
      <c r="AW932" s="15"/>
      <c r="AX932" s="15"/>
      <c r="AY932" s="15"/>
      <c r="AZ932" s="15"/>
      <c r="BA932" s="15"/>
      <c r="BB932" s="15"/>
      <c r="BC932" s="15"/>
      <c r="BD932" s="15"/>
      <c r="BE932" s="15"/>
      <c r="BF932" s="15"/>
      <c r="BG932" s="15"/>
      <c r="BH932" s="15"/>
      <c r="BI932" s="15"/>
    </row>
    <row r="933" spans="1:61" ht="15.7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7"/>
      <c r="O933" s="17"/>
      <c r="P933" s="15"/>
      <c r="Q933" s="15"/>
      <c r="R933" s="15"/>
      <c r="S933" s="15"/>
      <c r="T933" s="15"/>
      <c r="U933" s="15"/>
      <c r="V933" s="17"/>
      <c r="W933" s="17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  <c r="AL933" s="15"/>
      <c r="AM933" s="15"/>
      <c r="AN933" s="15"/>
      <c r="AO933" s="15"/>
      <c r="AP933" s="15"/>
      <c r="AQ933" s="15"/>
      <c r="AR933" s="15"/>
      <c r="AS933" s="15"/>
      <c r="AT933" s="15"/>
      <c r="AU933" s="15"/>
      <c r="AV933" s="15"/>
      <c r="AW933" s="15"/>
      <c r="AX933" s="15"/>
      <c r="AY933" s="15"/>
      <c r="AZ933" s="15"/>
      <c r="BA933" s="15"/>
      <c r="BB933" s="15"/>
      <c r="BC933" s="15"/>
      <c r="BD933" s="15"/>
      <c r="BE933" s="15"/>
      <c r="BF933" s="15"/>
      <c r="BG933" s="15"/>
      <c r="BH933" s="15"/>
      <c r="BI933" s="15"/>
    </row>
    <row r="934" spans="1:61" ht="15.7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7"/>
      <c r="O934" s="17"/>
      <c r="P934" s="15"/>
      <c r="Q934" s="15"/>
      <c r="R934" s="15"/>
      <c r="S934" s="15"/>
      <c r="T934" s="15"/>
      <c r="U934" s="15"/>
      <c r="V934" s="17"/>
      <c r="W934" s="17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  <c r="AL934" s="15"/>
      <c r="AM934" s="15"/>
      <c r="AN934" s="15"/>
      <c r="AO934" s="15"/>
      <c r="AP934" s="15"/>
      <c r="AQ934" s="15"/>
      <c r="AR934" s="15"/>
      <c r="AS934" s="15"/>
      <c r="AT934" s="15"/>
      <c r="AU934" s="15"/>
      <c r="AV934" s="15"/>
      <c r="AW934" s="15"/>
      <c r="AX934" s="15"/>
      <c r="AY934" s="15"/>
      <c r="AZ934" s="15"/>
      <c r="BA934" s="15"/>
      <c r="BB934" s="15"/>
      <c r="BC934" s="15"/>
      <c r="BD934" s="15"/>
      <c r="BE934" s="15"/>
      <c r="BF934" s="15"/>
      <c r="BG934" s="15"/>
      <c r="BH934" s="15"/>
      <c r="BI934" s="15"/>
    </row>
    <row r="935" spans="1:61" ht="15.7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7"/>
      <c r="O935" s="17"/>
      <c r="P935" s="15"/>
      <c r="Q935" s="15"/>
      <c r="R935" s="15"/>
      <c r="S935" s="15"/>
      <c r="T935" s="15"/>
      <c r="U935" s="15"/>
      <c r="V935" s="17"/>
      <c r="W935" s="17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  <c r="AL935" s="15"/>
      <c r="AM935" s="15"/>
      <c r="AN935" s="15"/>
      <c r="AO935" s="15"/>
      <c r="AP935" s="15"/>
      <c r="AQ935" s="15"/>
      <c r="AR935" s="15"/>
      <c r="AS935" s="15"/>
      <c r="AT935" s="15"/>
      <c r="AU935" s="15"/>
      <c r="AV935" s="15"/>
      <c r="AW935" s="15"/>
      <c r="AX935" s="15"/>
      <c r="AY935" s="15"/>
      <c r="AZ935" s="15"/>
      <c r="BA935" s="15"/>
      <c r="BB935" s="15"/>
      <c r="BC935" s="15"/>
      <c r="BD935" s="15"/>
      <c r="BE935" s="15"/>
      <c r="BF935" s="15"/>
      <c r="BG935" s="15"/>
      <c r="BH935" s="15"/>
      <c r="BI935" s="15"/>
    </row>
    <row r="936" spans="1:61" ht="15.7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7"/>
      <c r="O936" s="17"/>
      <c r="P936" s="15"/>
      <c r="Q936" s="15"/>
      <c r="R936" s="15"/>
      <c r="S936" s="15"/>
      <c r="T936" s="15"/>
      <c r="U936" s="15"/>
      <c r="V936" s="17"/>
      <c r="W936" s="17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  <c r="AL936" s="15"/>
      <c r="AM936" s="15"/>
      <c r="AN936" s="15"/>
      <c r="AO936" s="15"/>
      <c r="AP936" s="15"/>
      <c r="AQ936" s="15"/>
      <c r="AR936" s="15"/>
      <c r="AS936" s="15"/>
      <c r="AT936" s="15"/>
      <c r="AU936" s="15"/>
      <c r="AV936" s="15"/>
      <c r="AW936" s="15"/>
      <c r="AX936" s="15"/>
      <c r="AY936" s="15"/>
      <c r="AZ936" s="15"/>
      <c r="BA936" s="15"/>
      <c r="BB936" s="15"/>
      <c r="BC936" s="15"/>
      <c r="BD936" s="15"/>
      <c r="BE936" s="15"/>
      <c r="BF936" s="15"/>
      <c r="BG936" s="15"/>
      <c r="BH936" s="15"/>
      <c r="BI936" s="15"/>
    </row>
    <row r="937" spans="1:61" ht="15.7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7"/>
      <c r="O937" s="17"/>
      <c r="P937" s="15"/>
      <c r="Q937" s="15"/>
      <c r="R937" s="15"/>
      <c r="S937" s="15"/>
      <c r="T937" s="15"/>
      <c r="U937" s="15"/>
      <c r="V937" s="17"/>
      <c r="W937" s="17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  <c r="AL937" s="15"/>
      <c r="AM937" s="15"/>
      <c r="AN937" s="15"/>
      <c r="AO937" s="15"/>
      <c r="AP937" s="15"/>
      <c r="AQ937" s="15"/>
      <c r="AR937" s="15"/>
      <c r="AS937" s="15"/>
      <c r="AT937" s="15"/>
      <c r="AU937" s="15"/>
      <c r="AV937" s="15"/>
      <c r="AW937" s="15"/>
      <c r="AX937" s="15"/>
      <c r="AY937" s="15"/>
      <c r="AZ937" s="15"/>
      <c r="BA937" s="15"/>
      <c r="BB937" s="15"/>
      <c r="BC937" s="15"/>
      <c r="BD937" s="15"/>
      <c r="BE937" s="15"/>
      <c r="BF937" s="15"/>
      <c r="BG937" s="15"/>
      <c r="BH937" s="15"/>
      <c r="BI937" s="15"/>
    </row>
    <row r="938" spans="1:61" ht="15.7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7"/>
      <c r="O938" s="17"/>
      <c r="P938" s="15"/>
      <c r="Q938" s="15"/>
      <c r="R938" s="15"/>
      <c r="S938" s="15"/>
      <c r="T938" s="15"/>
      <c r="U938" s="15"/>
      <c r="V938" s="17"/>
      <c r="W938" s="17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  <c r="AK938" s="15"/>
      <c r="AL938" s="15"/>
      <c r="AM938" s="15"/>
      <c r="AN938" s="15"/>
      <c r="AO938" s="15"/>
      <c r="AP938" s="15"/>
      <c r="AQ938" s="15"/>
      <c r="AR938" s="15"/>
      <c r="AS938" s="15"/>
      <c r="AT938" s="15"/>
      <c r="AU938" s="15"/>
      <c r="AV938" s="15"/>
      <c r="AW938" s="15"/>
      <c r="AX938" s="15"/>
      <c r="AY938" s="15"/>
      <c r="AZ938" s="15"/>
      <c r="BA938" s="15"/>
      <c r="BB938" s="15"/>
      <c r="BC938" s="15"/>
      <c r="BD938" s="15"/>
      <c r="BE938" s="15"/>
      <c r="BF938" s="15"/>
      <c r="BG938" s="15"/>
      <c r="BH938" s="15"/>
      <c r="BI938" s="15"/>
    </row>
    <row r="939" spans="1:61" ht="15.7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7"/>
      <c r="O939" s="17"/>
      <c r="P939" s="15"/>
      <c r="Q939" s="15"/>
      <c r="R939" s="15"/>
      <c r="S939" s="15"/>
      <c r="T939" s="15"/>
      <c r="U939" s="15"/>
      <c r="V939" s="17"/>
      <c r="W939" s="17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  <c r="AL939" s="15"/>
      <c r="AM939" s="15"/>
      <c r="AN939" s="15"/>
      <c r="AO939" s="15"/>
      <c r="AP939" s="15"/>
      <c r="AQ939" s="15"/>
      <c r="AR939" s="15"/>
      <c r="AS939" s="15"/>
      <c r="AT939" s="15"/>
      <c r="AU939" s="15"/>
      <c r="AV939" s="15"/>
      <c r="AW939" s="15"/>
      <c r="AX939" s="15"/>
      <c r="AY939" s="15"/>
      <c r="AZ939" s="15"/>
      <c r="BA939" s="15"/>
      <c r="BB939" s="15"/>
      <c r="BC939" s="15"/>
      <c r="BD939" s="15"/>
      <c r="BE939" s="15"/>
      <c r="BF939" s="15"/>
      <c r="BG939" s="15"/>
      <c r="BH939" s="15"/>
      <c r="BI939" s="15"/>
    </row>
    <row r="940" spans="1:61" ht="15.7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7"/>
      <c r="O940" s="17"/>
      <c r="P940" s="15"/>
      <c r="Q940" s="15"/>
      <c r="R940" s="15"/>
      <c r="S940" s="15"/>
      <c r="T940" s="15"/>
      <c r="U940" s="15"/>
      <c r="V940" s="17"/>
      <c r="W940" s="17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  <c r="AL940" s="15"/>
      <c r="AM940" s="15"/>
      <c r="AN940" s="15"/>
      <c r="AO940" s="15"/>
      <c r="AP940" s="15"/>
      <c r="AQ940" s="15"/>
      <c r="AR940" s="15"/>
      <c r="AS940" s="15"/>
      <c r="AT940" s="15"/>
      <c r="AU940" s="15"/>
      <c r="AV940" s="15"/>
      <c r="AW940" s="15"/>
      <c r="AX940" s="15"/>
      <c r="AY940" s="15"/>
      <c r="AZ940" s="15"/>
      <c r="BA940" s="15"/>
      <c r="BB940" s="15"/>
      <c r="BC940" s="15"/>
      <c r="BD940" s="15"/>
      <c r="BE940" s="15"/>
      <c r="BF940" s="15"/>
      <c r="BG940" s="15"/>
      <c r="BH940" s="15"/>
      <c r="BI940" s="15"/>
    </row>
    <row r="941" spans="1:61" ht="15.7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7"/>
      <c r="O941" s="17"/>
      <c r="P941" s="15"/>
      <c r="Q941" s="15"/>
      <c r="R941" s="15"/>
      <c r="S941" s="15"/>
      <c r="T941" s="15"/>
      <c r="U941" s="15"/>
      <c r="V941" s="17"/>
      <c r="W941" s="17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  <c r="AL941" s="15"/>
      <c r="AM941" s="15"/>
      <c r="AN941" s="15"/>
      <c r="AO941" s="15"/>
      <c r="AP941" s="15"/>
      <c r="AQ941" s="15"/>
      <c r="AR941" s="15"/>
      <c r="AS941" s="15"/>
      <c r="AT941" s="15"/>
      <c r="AU941" s="15"/>
      <c r="AV941" s="15"/>
      <c r="AW941" s="15"/>
      <c r="AX941" s="15"/>
      <c r="AY941" s="15"/>
      <c r="AZ941" s="15"/>
      <c r="BA941" s="15"/>
      <c r="BB941" s="15"/>
      <c r="BC941" s="15"/>
      <c r="BD941" s="15"/>
      <c r="BE941" s="15"/>
      <c r="BF941" s="15"/>
      <c r="BG941" s="15"/>
      <c r="BH941" s="15"/>
      <c r="BI941" s="15"/>
    </row>
    <row r="942" spans="1:61" ht="15.7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7"/>
      <c r="O942" s="17"/>
      <c r="P942" s="15"/>
      <c r="Q942" s="15"/>
      <c r="R942" s="15"/>
      <c r="S942" s="15"/>
      <c r="T942" s="15"/>
      <c r="U942" s="15"/>
      <c r="V942" s="17"/>
      <c r="W942" s="17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  <c r="AK942" s="15"/>
      <c r="AL942" s="15"/>
      <c r="AM942" s="15"/>
      <c r="AN942" s="15"/>
      <c r="AO942" s="15"/>
      <c r="AP942" s="15"/>
      <c r="AQ942" s="15"/>
      <c r="AR942" s="15"/>
      <c r="AS942" s="15"/>
      <c r="AT942" s="15"/>
      <c r="AU942" s="15"/>
      <c r="AV942" s="15"/>
      <c r="AW942" s="15"/>
      <c r="AX942" s="15"/>
      <c r="AY942" s="15"/>
      <c r="AZ942" s="15"/>
      <c r="BA942" s="15"/>
      <c r="BB942" s="15"/>
      <c r="BC942" s="15"/>
      <c r="BD942" s="15"/>
      <c r="BE942" s="15"/>
      <c r="BF942" s="15"/>
      <c r="BG942" s="15"/>
      <c r="BH942" s="15"/>
      <c r="BI942" s="15"/>
    </row>
    <row r="943" spans="1:61" ht="15.7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7"/>
      <c r="O943" s="17"/>
      <c r="P943" s="15"/>
      <c r="Q943" s="15"/>
      <c r="R943" s="15"/>
      <c r="S943" s="15"/>
      <c r="T943" s="15"/>
      <c r="U943" s="15"/>
      <c r="V943" s="17"/>
      <c r="W943" s="17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/>
      <c r="AM943" s="15"/>
      <c r="AN943" s="15"/>
      <c r="AO943" s="15"/>
      <c r="AP943" s="15"/>
      <c r="AQ943" s="15"/>
      <c r="AR943" s="15"/>
      <c r="AS943" s="15"/>
      <c r="AT943" s="15"/>
      <c r="AU943" s="15"/>
      <c r="AV943" s="15"/>
      <c r="AW943" s="15"/>
      <c r="AX943" s="15"/>
      <c r="AY943" s="15"/>
      <c r="AZ943" s="15"/>
      <c r="BA943" s="15"/>
      <c r="BB943" s="15"/>
      <c r="BC943" s="15"/>
      <c r="BD943" s="15"/>
      <c r="BE943" s="15"/>
      <c r="BF943" s="15"/>
      <c r="BG943" s="15"/>
      <c r="BH943" s="15"/>
      <c r="BI943" s="15"/>
    </row>
    <row r="944" spans="1:61" ht="15.7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7"/>
      <c r="O944" s="17"/>
      <c r="P944" s="15"/>
      <c r="Q944" s="15"/>
      <c r="R944" s="15"/>
      <c r="S944" s="15"/>
      <c r="T944" s="15"/>
      <c r="U944" s="15"/>
      <c r="V944" s="17"/>
      <c r="W944" s="17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  <c r="AL944" s="15"/>
      <c r="AM944" s="15"/>
      <c r="AN944" s="15"/>
      <c r="AO944" s="15"/>
      <c r="AP944" s="15"/>
      <c r="AQ944" s="15"/>
      <c r="AR944" s="15"/>
      <c r="AS944" s="15"/>
      <c r="AT944" s="15"/>
      <c r="AU944" s="15"/>
      <c r="AV944" s="15"/>
      <c r="AW944" s="15"/>
      <c r="AX944" s="15"/>
      <c r="AY944" s="15"/>
      <c r="AZ944" s="15"/>
      <c r="BA944" s="15"/>
      <c r="BB944" s="15"/>
      <c r="BC944" s="15"/>
      <c r="BD944" s="15"/>
      <c r="BE944" s="15"/>
      <c r="BF944" s="15"/>
      <c r="BG944" s="15"/>
      <c r="BH944" s="15"/>
      <c r="BI944" s="15"/>
    </row>
    <row r="945" spans="1:61" ht="15.7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7"/>
      <c r="O945" s="17"/>
      <c r="P945" s="15"/>
      <c r="Q945" s="15"/>
      <c r="R945" s="15"/>
      <c r="S945" s="15"/>
      <c r="T945" s="15"/>
      <c r="U945" s="15"/>
      <c r="V945" s="17"/>
      <c r="W945" s="17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  <c r="AL945" s="15"/>
      <c r="AM945" s="15"/>
      <c r="AN945" s="15"/>
      <c r="AO945" s="15"/>
      <c r="AP945" s="15"/>
      <c r="AQ945" s="15"/>
      <c r="AR945" s="15"/>
      <c r="AS945" s="15"/>
      <c r="AT945" s="15"/>
      <c r="AU945" s="15"/>
      <c r="AV945" s="15"/>
      <c r="AW945" s="15"/>
      <c r="AX945" s="15"/>
      <c r="AY945" s="15"/>
      <c r="AZ945" s="15"/>
      <c r="BA945" s="15"/>
      <c r="BB945" s="15"/>
      <c r="BC945" s="15"/>
      <c r="BD945" s="15"/>
      <c r="BE945" s="15"/>
      <c r="BF945" s="15"/>
      <c r="BG945" s="15"/>
      <c r="BH945" s="15"/>
      <c r="BI945" s="15"/>
    </row>
    <row r="946" spans="1:61" ht="15.7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7"/>
      <c r="O946" s="17"/>
      <c r="P946" s="15"/>
      <c r="Q946" s="15"/>
      <c r="R946" s="15"/>
      <c r="S946" s="15"/>
      <c r="T946" s="15"/>
      <c r="U946" s="15"/>
      <c r="V946" s="17"/>
      <c r="W946" s="17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  <c r="AL946" s="15"/>
      <c r="AM946" s="15"/>
      <c r="AN946" s="15"/>
      <c r="AO946" s="15"/>
      <c r="AP946" s="15"/>
      <c r="AQ946" s="15"/>
      <c r="AR946" s="15"/>
      <c r="AS946" s="15"/>
      <c r="AT946" s="15"/>
      <c r="AU946" s="15"/>
      <c r="AV946" s="15"/>
      <c r="AW946" s="15"/>
      <c r="AX946" s="15"/>
      <c r="AY946" s="15"/>
      <c r="AZ946" s="15"/>
      <c r="BA946" s="15"/>
      <c r="BB946" s="15"/>
      <c r="BC946" s="15"/>
      <c r="BD946" s="15"/>
      <c r="BE946" s="15"/>
      <c r="BF946" s="15"/>
      <c r="BG946" s="15"/>
      <c r="BH946" s="15"/>
      <c r="BI946" s="15"/>
    </row>
    <row r="947" spans="1:61" ht="15.7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7"/>
      <c r="O947" s="17"/>
      <c r="P947" s="15"/>
      <c r="Q947" s="15"/>
      <c r="R947" s="15"/>
      <c r="S947" s="15"/>
      <c r="T947" s="15"/>
      <c r="U947" s="15"/>
      <c r="V947" s="17"/>
      <c r="W947" s="17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  <c r="AL947" s="15"/>
      <c r="AM947" s="15"/>
      <c r="AN947" s="15"/>
      <c r="AO947" s="15"/>
      <c r="AP947" s="15"/>
      <c r="AQ947" s="15"/>
      <c r="AR947" s="15"/>
      <c r="AS947" s="15"/>
      <c r="AT947" s="15"/>
      <c r="AU947" s="15"/>
      <c r="AV947" s="15"/>
      <c r="AW947" s="15"/>
      <c r="AX947" s="15"/>
      <c r="AY947" s="15"/>
      <c r="AZ947" s="15"/>
      <c r="BA947" s="15"/>
      <c r="BB947" s="15"/>
      <c r="BC947" s="15"/>
      <c r="BD947" s="15"/>
      <c r="BE947" s="15"/>
      <c r="BF947" s="15"/>
      <c r="BG947" s="15"/>
      <c r="BH947" s="15"/>
      <c r="BI947" s="15"/>
    </row>
    <row r="948" spans="1:61" ht="15.7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7"/>
      <c r="O948" s="17"/>
      <c r="P948" s="15"/>
      <c r="Q948" s="15"/>
      <c r="R948" s="15"/>
      <c r="S948" s="15"/>
      <c r="T948" s="15"/>
      <c r="U948" s="15"/>
      <c r="V948" s="17"/>
      <c r="W948" s="17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  <c r="AL948" s="15"/>
      <c r="AM948" s="15"/>
      <c r="AN948" s="15"/>
      <c r="AO948" s="15"/>
      <c r="AP948" s="15"/>
      <c r="AQ948" s="15"/>
      <c r="AR948" s="15"/>
      <c r="AS948" s="15"/>
      <c r="AT948" s="15"/>
      <c r="AU948" s="15"/>
      <c r="AV948" s="15"/>
      <c r="AW948" s="15"/>
      <c r="AX948" s="15"/>
      <c r="AY948" s="15"/>
      <c r="AZ948" s="15"/>
      <c r="BA948" s="15"/>
      <c r="BB948" s="15"/>
      <c r="BC948" s="15"/>
      <c r="BD948" s="15"/>
      <c r="BE948" s="15"/>
      <c r="BF948" s="15"/>
      <c r="BG948" s="15"/>
      <c r="BH948" s="15"/>
      <c r="BI948" s="15"/>
    </row>
    <row r="949" spans="1:61" ht="15.7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7"/>
      <c r="O949" s="17"/>
      <c r="P949" s="15"/>
      <c r="Q949" s="15"/>
      <c r="R949" s="15"/>
      <c r="S949" s="15"/>
      <c r="T949" s="15"/>
      <c r="U949" s="15"/>
      <c r="V949" s="17"/>
      <c r="W949" s="17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  <c r="AM949" s="15"/>
      <c r="AN949" s="15"/>
      <c r="AO949" s="15"/>
      <c r="AP949" s="15"/>
      <c r="AQ949" s="15"/>
      <c r="AR949" s="15"/>
      <c r="AS949" s="15"/>
      <c r="AT949" s="15"/>
      <c r="AU949" s="15"/>
      <c r="AV949" s="15"/>
      <c r="AW949" s="15"/>
      <c r="AX949" s="15"/>
      <c r="AY949" s="15"/>
      <c r="AZ949" s="15"/>
      <c r="BA949" s="15"/>
      <c r="BB949" s="15"/>
      <c r="BC949" s="15"/>
      <c r="BD949" s="15"/>
      <c r="BE949" s="15"/>
      <c r="BF949" s="15"/>
      <c r="BG949" s="15"/>
      <c r="BH949" s="15"/>
      <c r="BI949" s="15"/>
    </row>
  </sheetData>
  <hyperlinks>
    <hyperlink ref="B2" r:id="rId1" xr:uid="{00000000-0004-0000-0200-000000000000}"/>
    <hyperlink ref="B3" r:id="rId2" xr:uid="{00000000-0004-0000-0200-000001000000}"/>
    <hyperlink ref="B4" r:id="rId3" xr:uid="{00000000-0004-0000-0200-000002000000}"/>
    <hyperlink ref="B5" r:id="rId4" xr:uid="{00000000-0004-0000-0200-000003000000}"/>
    <hyperlink ref="B6" r:id="rId5" xr:uid="{00000000-0004-0000-0200-000004000000}"/>
    <hyperlink ref="B7" r:id="rId6" xr:uid="{00000000-0004-0000-0200-000005000000}"/>
    <hyperlink ref="B8" r:id="rId7" xr:uid="{00000000-0004-0000-0200-000006000000}"/>
    <hyperlink ref="B9" r:id="rId8" xr:uid="{00000000-0004-0000-0200-000007000000}"/>
    <hyperlink ref="B10" r:id="rId9" xr:uid="{00000000-0004-0000-0200-000008000000}"/>
    <hyperlink ref="B11" r:id="rId10" xr:uid="{00000000-0004-0000-0200-000009000000}"/>
    <hyperlink ref="B12" r:id="rId11" xr:uid="{00000000-0004-0000-0200-00000A000000}"/>
    <hyperlink ref="B13" r:id="rId12" xr:uid="{00000000-0004-0000-0200-00000B000000}"/>
    <hyperlink ref="B14" r:id="rId13" xr:uid="{00000000-0004-0000-0200-00000C000000}"/>
    <hyperlink ref="B15" r:id="rId14" xr:uid="{00000000-0004-0000-0200-00000D000000}"/>
    <hyperlink ref="B16" r:id="rId15" xr:uid="{00000000-0004-0000-0200-00000E000000}"/>
    <hyperlink ref="B17" r:id="rId16" xr:uid="{00000000-0004-0000-0200-00000F000000}"/>
    <hyperlink ref="B18" r:id="rId17" xr:uid="{00000000-0004-0000-0200-000010000000}"/>
    <hyperlink ref="B19" r:id="rId18" xr:uid="{00000000-0004-0000-0200-000011000000}"/>
    <hyperlink ref="B20" r:id="rId19" xr:uid="{00000000-0004-0000-0200-000012000000}"/>
    <hyperlink ref="B21" r:id="rId20" xr:uid="{00000000-0004-0000-0200-000013000000}"/>
    <hyperlink ref="B22" r:id="rId21" xr:uid="{00000000-0004-0000-0200-000014000000}"/>
    <hyperlink ref="B23" r:id="rId22" xr:uid="{00000000-0004-0000-0200-000015000000}"/>
    <hyperlink ref="B24" r:id="rId23" xr:uid="{00000000-0004-0000-0200-000016000000}"/>
    <hyperlink ref="B25" r:id="rId24" xr:uid="{00000000-0004-0000-0200-000017000000}"/>
    <hyperlink ref="B26" r:id="rId25" xr:uid="{00000000-0004-0000-0200-000018000000}"/>
    <hyperlink ref="B27" r:id="rId26" xr:uid="{00000000-0004-0000-0200-000019000000}"/>
    <hyperlink ref="B28" r:id="rId27" xr:uid="{00000000-0004-0000-0200-00001A000000}"/>
    <hyperlink ref="B29" r:id="rId28" xr:uid="{00000000-0004-0000-0200-00001B000000}"/>
    <hyperlink ref="B30" r:id="rId29" xr:uid="{00000000-0004-0000-0200-00001C000000}"/>
    <hyperlink ref="B31" r:id="rId30" xr:uid="{00000000-0004-0000-0200-00001D000000}"/>
    <hyperlink ref="B32" r:id="rId31" xr:uid="{00000000-0004-0000-0200-00001E000000}"/>
    <hyperlink ref="B33" r:id="rId32" xr:uid="{00000000-0004-0000-0200-00001F000000}"/>
    <hyperlink ref="B34" r:id="rId33" xr:uid="{00000000-0004-0000-0200-000020000000}"/>
    <hyperlink ref="B35" r:id="rId34" xr:uid="{00000000-0004-0000-0200-000021000000}"/>
    <hyperlink ref="B36" r:id="rId35" xr:uid="{00000000-0004-0000-0200-000022000000}"/>
    <hyperlink ref="B37" r:id="rId36" xr:uid="{00000000-0004-0000-0200-000023000000}"/>
    <hyperlink ref="B38" r:id="rId37" xr:uid="{00000000-0004-0000-0200-000024000000}"/>
    <hyperlink ref="B39" r:id="rId38" xr:uid="{00000000-0004-0000-0200-000025000000}"/>
    <hyperlink ref="B40" r:id="rId39" xr:uid="{00000000-0004-0000-0200-000026000000}"/>
    <hyperlink ref="B41" r:id="rId40" xr:uid="{00000000-0004-0000-0200-000027000000}"/>
    <hyperlink ref="B42" r:id="rId41" xr:uid="{00000000-0004-0000-0200-000028000000}"/>
    <hyperlink ref="B43" r:id="rId42" xr:uid="{00000000-0004-0000-0200-000029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Matthew Kirtland</cp:lastModifiedBy>
  <cp:revision/>
  <dcterms:created xsi:type="dcterms:W3CDTF">2024-05-16T11:54:58Z</dcterms:created>
  <dcterms:modified xsi:type="dcterms:W3CDTF">2024-09-20T08:51:31Z</dcterms:modified>
  <cp:category/>
  <cp:contentStatus/>
</cp:coreProperties>
</file>